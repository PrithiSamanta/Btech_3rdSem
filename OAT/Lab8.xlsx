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isha Samanta\OneDrive\Desktop\OatLab\"/>
    </mc:Choice>
  </mc:AlternateContent>
  <xr:revisionPtr revIDLastSave="0" documentId="13_ncr:1_{90E8BFB6-F735-4241-926C-D8A37D24C842}" xr6:coauthVersionLast="47" xr6:coauthVersionMax="47" xr10:uidLastSave="{00000000-0000-0000-0000-000000000000}"/>
  <bookViews>
    <workbookView xWindow="-108" yWindow="-108" windowWidth="23256" windowHeight="12456" xr2:uid="{07CE2DA0-A2F5-4F61-926D-CBE6036C0889}"/>
  </bookViews>
  <sheets>
    <sheet name="Sheet1" sheetId="1" r:id="rId1"/>
  </sheets>
  <definedNames>
    <definedName name="_xlnm.Print_Titles" localSheetId="0">Sheet1!$2:$2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3" i="1"/>
  <c r="B19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3" i="1"/>
</calcChain>
</file>

<file path=xl/sharedStrings.xml><?xml version="1.0" encoding="utf-8"?>
<sst xmlns="http://schemas.openxmlformats.org/spreadsheetml/2006/main" count="51" uniqueCount="51">
  <si>
    <t>Subject 1</t>
  </si>
  <si>
    <t>Subject 2</t>
  </si>
  <si>
    <t>Subject 3</t>
  </si>
  <si>
    <t>Subject 4</t>
  </si>
  <si>
    <t>Alex</t>
  </si>
  <si>
    <t>Daniel</t>
  </si>
  <si>
    <t>Emma</t>
  </si>
  <si>
    <t>Ethan</t>
  </si>
  <si>
    <t>James</t>
  </si>
  <si>
    <t>Jordan</t>
  </si>
  <si>
    <t>Madison</t>
  </si>
  <si>
    <t>Maya</t>
  </si>
  <si>
    <t>Mia</t>
  </si>
  <si>
    <t>Noah</t>
  </si>
  <si>
    <t>Olivia</t>
  </si>
  <si>
    <t>Sarah</t>
  </si>
  <si>
    <t>Sophia</t>
  </si>
  <si>
    <t>Taylor</t>
  </si>
  <si>
    <t>Enr No.</t>
  </si>
  <si>
    <t>Last Name</t>
  </si>
  <si>
    <t>First Name</t>
  </si>
  <si>
    <t>Mehta</t>
  </si>
  <si>
    <t>Sharma</t>
  </si>
  <si>
    <t>Desai</t>
  </si>
  <si>
    <t>Iyer</t>
  </si>
  <si>
    <t>Patel</t>
  </si>
  <si>
    <t>Kapoor</t>
  </si>
  <si>
    <t>Reddy</t>
  </si>
  <si>
    <t>Joshi</t>
  </si>
  <si>
    <t>Choudhary</t>
  </si>
  <si>
    <t>Nair</t>
  </si>
  <si>
    <t>Verma</t>
  </si>
  <si>
    <t>Bansal</t>
  </si>
  <si>
    <t>Malhotra</t>
  </si>
  <si>
    <t>Kulkarni</t>
  </si>
  <si>
    <t>Singh</t>
  </si>
  <si>
    <t>Arjun</t>
  </si>
  <si>
    <t>Final Examination Result</t>
  </si>
  <si>
    <t>Sum</t>
  </si>
  <si>
    <t>Average</t>
  </si>
  <si>
    <t>Percentage</t>
  </si>
  <si>
    <t>Minimum</t>
  </si>
  <si>
    <t>Maximum</t>
  </si>
  <si>
    <t>Uppercase</t>
  </si>
  <si>
    <t>Lowercase</t>
  </si>
  <si>
    <t>COUNT</t>
  </si>
  <si>
    <t>Grade</t>
  </si>
  <si>
    <t>Trim</t>
  </si>
  <si>
    <t>Proper</t>
  </si>
  <si>
    <t>Count if &gt;75%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</si>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</sst>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i/>
      <u/>
      <sz val="16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9" fontId="0" fillId="0" borderId="0" xfId="1" applyFont="1"/>
    <xf numFmtId="0" fontId="2" fillId="0" borderId="0" xfId="0" applyFont="1"/>
    <xf numFmtId="0" fontId="6" fillId="0" borderId="0" xfId="0" applyFont="1" applyAlignment="1">
      <alignment horizontal="center"/>
    </xf>
    <xf numFmtId="0" fontId="3" fillId="0" borderId="0" xfId="0" applyFont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CB50-BA7C-4CA9-B052-87DEB6F25811}">
  <dimension ref="A1:R19"/>
  <sheetViews>
    <sheetView tabSelected="1" zoomScale="112" zoomScaleNormal="100"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2" max="2" width="15" customWidth="1"/>
    <col min="3" max="3" width="13" customWidth="1"/>
    <col min="8" max="8" width="8.109375" customWidth="1"/>
    <col min="10" max="10" width="11.77734375" customWidth="1"/>
    <col min="13" max="13" width="11.5546875" customWidth="1"/>
    <col min="14" max="14" width="10.44140625" customWidth="1"/>
    <col min="16" max="16" width="15.109375" customWidth="1"/>
  </cols>
  <sheetData>
    <row r="1" spans="1:18" ht="21" x14ac:dyDescent="0.4">
      <c r="A1" s="7" t="s">
        <v>37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x14ac:dyDescent="0.3">
      <c r="A2" s="1" t="s">
        <v>18</v>
      </c>
      <c r="B2" s="1" t="s">
        <v>20</v>
      </c>
      <c r="C2" s="1" t="s">
        <v>19</v>
      </c>
      <c r="D2" s="1" t="s">
        <v>0</v>
      </c>
      <c r="E2" s="1" t="s">
        <v>1</v>
      </c>
      <c r="F2" s="1" t="s">
        <v>2</v>
      </c>
      <c r="G2" s="1" t="s">
        <v>3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46</v>
      </c>
      <c r="P2" s="1" t="s">
        <v>50</v>
      </c>
      <c r="Q2" s="1" t="s">
        <v>47</v>
      </c>
      <c r="R2" s="1" t="s">
        <v>48</v>
      </c>
    </row>
    <row r="3" spans="1:18" ht="15.6" x14ac:dyDescent="0.3">
      <c r="A3" s="4">
        <v>101</v>
      </c>
      <c r="B3" s="2" t="s">
        <v>4</v>
      </c>
      <c r="C3" s="2" t="s">
        <v>21</v>
      </c>
      <c r="D3" s="3">
        <v>34</v>
      </c>
      <c r="E3" s="3">
        <v>50</v>
      </c>
      <c r="F3" s="3">
        <v>68</v>
      </c>
      <c r="G3" s="3">
        <v>74</v>
      </c>
      <c r="H3">
        <f>SUM(D3:G3)</f>
        <v>226</v>
      </c>
      <c r="I3">
        <f>AVERAGE(D3:G3)</f>
        <v>56.5</v>
      </c>
      <c r="J3" s="5">
        <f>AVERAGE(D3:G3)/100</f>
        <v>0.56499999999999995</v>
      </c>
      <c r="K3">
        <f>MIN(D3:G3)</f>
        <v>34</v>
      </c>
      <c r="L3">
        <f>MAX(D3:G3)</f>
        <v>74</v>
      </c>
      <c r="M3" t="str">
        <f>UPPER(B3)</f>
        <v>ALEX</v>
      </c>
      <c r="N3" t="str">
        <f>LOWER(B3)</f>
        <v>alex</v>
      </c>
      <c r="O3" t="str">
        <f>IF(I3&gt;85,"A",IF(I3&gt;70,"B",IF(I3&gt;50,"C",IF(I3&gt;35,"D","F"))))</f>
        <v>C</v>
      </c>
      <c r="P3" t="str">
        <f>CONCATENATE(B3," ",C3)</f>
        <v>Alex Mehta</v>
      </c>
      <c r="Q3" t="str">
        <f>TRIM(B3)</f>
        <v>Alex</v>
      </c>
      <c r="R3" t="str">
        <f>PROPER(B3)</f>
        <v>Alex</v>
      </c>
    </row>
    <row r="4" spans="1:18" ht="15.6" x14ac:dyDescent="0.3">
      <c r="A4" s="4">
        <v>102</v>
      </c>
      <c r="B4" s="2" t="s">
        <v>5</v>
      </c>
      <c r="C4" s="2" t="s">
        <v>22</v>
      </c>
      <c r="D4" s="3">
        <v>65</v>
      </c>
      <c r="E4" s="3">
        <v>48</v>
      </c>
      <c r="F4" s="3">
        <v>74</v>
      </c>
      <c r="G4" s="3">
        <v>55</v>
      </c>
      <c r="H4">
        <f t="shared" ref="H4:H17" si="0">SUM(D4:G4)</f>
        <v>242</v>
      </c>
      <c r="I4">
        <f t="shared" ref="I4:I17" si="1">AVERAGE(D4:G4)</f>
        <v>60.5</v>
      </c>
      <c r="J4" s="5">
        <f t="shared" ref="J4:J17" si="2">AVERAGE(D4:G4)/100</f>
        <v>0.60499999999999998</v>
      </c>
      <c r="K4">
        <f t="shared" ref="K4:K17" si="3">MIN(D4:G4)</f>
        <v>48</v>
      </c>
      <c r="L4">
        <f t="shared" ref="L4:L17" si="4">MAX(D4:G4)</f>
        <v>74</v>
      </c>
      <c r="M4" t="str">
        <f t="shared" ref="M4:M17" si="5">UPPER(B4)</f>
        <v>DANIEL</v>
      </c>
      <c r="N4" t="str">
        <f t="shared" ref="N4:N17" si="6">LOWER(B4)</f>
        <v>daniel</v>
      </c>
      <c r="O4" t="str">
        <f t="shared" ref="O4:O17" si="7">IF(I4&gt;85,"A",IF(I4&gt;70,"B",IF(I4&gt;50,"C",IF(I4&gt;35,"D","F"))))</f>
        <v>C</v>
      </c>
      <c r="P4" t="str">
        <f t="shared" ref="P4:P17" si="8">CONCATENATE(B4," ",C4)</f>
        <v>Daniel Sharma</v>
      </c>
      <c r="Q4" t="str">
        <f t="shared" ref="Q4:Q17" si="9">TRIM(B4)</f>
        <v>Daniel</v>
      </c>
      <c r="R4" t="str">
        <f t="shared" ref="R4:R17" si="10">PROPER(B4)</f>
        <v>Daniel</v>
      </c>
    </row>
    <row r="5" spans="1:18" ht="15.6" x14ac:dyDescent="0.3">
      <c r="A5" s="4">
        <v>103</v>
      </c>
      <c r="B5" s="2" t="s">
        <v>6</v>
      </c>
      <c r="C5" s="2" t="s">
        <v>23</v>
      </c>
      <c r="D5" s="3">
        <v>78</v>
      </c>
      <c r="E5" s="3">
        <v>69</v>
      </c>
      <c r="F5" s="3">
        <v>90</v>
      </c>
      <c r="G5" s="3">
        <v>53</v>
      </c>
      <c r="H5">
        <f t="shared" si="0"/>
        <v>290</v>
      </c>
      <c r="I5">
        <f t="shared" si="1"/>
        <v>72.5</v>
      </c>
      <c r="J5" s="5">
        <f t="shared" si="2"/>
        <v>0.72499999999999998</v>
      </c>
      <c r="K5">
        <f t="shared" si="3"/>
        <v>53</v>
      </c>
      <c r="L5">
        <f t="shared" si="4"/>
        <v>90</v>
      </c>
      <c r="M5" t="str">
        <f t="shared" si="5"/>
        <v>EMMA</v>
      </c>
      <c r="N5" t="str">
        <f t="shared" si="6"/>
        <v>emma</v>
      </c>
      <c r="O5" t="str">
        <f t="shared" si="7"/>
        <v>B</v>
      </c>
      <c r="P5" t="str">
        <f t="shared" si="8"/>
        <v>Emma Desai</v>
      </c>
      <c r="Q5" t="str">
        <f t="shared" si="9"/>
        <v>Emma</v>
      </c>
      <c r="R5" t="str">
        <f t="shared" si="10"/>
        <v>Emma</v>
      </c>
    </row>
    <row r="6" spans="1:18" ht="15.6" x14ac:dyDescent="0.3">
      <c r="A6" s="4">
        <v>104</v>
      </c>
      <c r="B6" s="2" t="s">
        <v>7</v>
      </c>
      <c r="C6" s="2" t="s">
        <v>24</v>
      </c>
      <c r="D6" s="3">
        <v>56</v>
      </c>
      <c r="E6" s="3">
        <v>70</v>
      </c>
      <c r="F6" s="3">
        <v>74</v>
      </c>
      <c r="G6" s="3">
        <v>96</v>
      </c>
      <c r="H6">
        <f t="shared" si="0"/>
        <v>296</v>
      </c>
      <c r="I6">
        <f t="shared" si="1"/>
        <v>74</v>
      </c>
      <c r="J6" s="5">
        <f t="shared" si="2"/>
        <v>0.74</v>
      </c>
      <c r="K6">
        <f t="shared" si="3"/>
        <v>56</v>
      </c>
      <c r="L6">
        <f t="shared" si="4"/>
        <v>96</v>
      </c>
      <c r="M6" t="str">
        <f t="shared" si="5"/>
        <v>ETHAN</v>
      </c>
      <c r="N6" t="str">
        <f t="shared" si="6"/>
        <v>ethan</v>
      </c>
      <c r="O6" t="str">
        <f t="shared" si="7"/>
        <v>B</v>
      </c>
      <c r="P6" t="str">
        <f t="shared" si="8"/>
        <v>Ethan Iyer</v>
      </c>
      <c r="Q6" t="str">
        <f t="shared" si="9"/>
        <v>Ethan</v>
      </c>
      <c r="R6" t="str">
        <f t="shared" si="10"/>
        <v>Ethan</v>
      </c>
    </row>
    <row r="7" spans="1:18" ht="15.6" x14ac:dyDescent="0.3">
      <c r="A7" s="4">
        <v>105</v>
      </c>
      <c r="B7" s="2" t="s">
        <v>8</v>
      </c>
      <c r="C7" s="2" t="s">
        <v>25</v>
      </c>
      <c r="D7" s="3">
        <v>40</v>
      </c>
      <c r="E7" s="3">
        <v>63</v>
      </c>
      <c r="F7" s="3">
        <v>78</v>
      </c>
      <c r="G7" s="3">
        <v>45</v>
      </c>
      <c r="H7">
        <f t="shared" si="0"/>
        <v>226</v>
      </c>
      <c r="I7">
        <f t="shared" si="1"/>
        <v>56.5</v>
      </c>
      <c r="J7" s="5">
        <f t="shared" si="2"/>
        <v>0.56499999999999995</v>
      </c>
      <c r="K7">
        <f t="shared" si="3"/>
        <v>40</v>
      </c>
      <c r="L7">
        <f t="shared" si="4"/>
        <v>78</v>
      </c>
      <c r="M7" t="str">
        <f t="shared" si="5"/>
        <v>JAMES</v>
      </c>
      <c r="N7" t="str">
        <f t="shared" si="6"/>
        <v>james</v>
      </c>
      <c r="O7" t="str">
        <f t="shared" si="7"/>
        <v>C</v>
      </c>
      <c r="P7" t="str">
        <f t="shared" si="8"/>
        <v>James Patel</v>
      </c>
      <c r="Q7" t="str">
        <f t="shared" si="9"/>
        <v>James</v>
      </c>
      <c r="R7" t="str">
        <f t="shared" si="10"/>
        <v>James</v>
      </c>
    </row>
    <row r="8" spans="1:18" ht="15.6" x14ac:dyDescent="0.3">
      <c r="A8" s="4">
        <v>106</v>
      </c>
      <c r="B8" s="2" t="s">
        <v>9</v>
      </c>
      <c r="C8" s="2" t="s">
        <v>26</v>
      </c>
      <c r="D8" s="3">
        <v>51</v>
      </c>
      <c r="E8" s="3">
        <v>64</v>
      </c>
      <c r="F8" s="3">
        <v>56</v>
      </c>
      <c r="G8" s="3">
        <v>96</v>
      </c>
      <c r="H8">
        <f t="shared" si="0"/>
        <v>267</v>
      </c>
      <c r="I8">
        <f t="shared" si="1"/>
        <v>66.75</v>
      </c>
      <c r="J8" s="5">
        <f t="shared" si="2"/>
        <v>0.66749999999999998</v>
      </c>
      <c r="K8">
        <f t="shared" si="3"/>
        <v>51</v>
      </c>
      <c r="L8">
        <f t="shared" si="4"/>
        <v>96</v>
      </c>
      <c r="M8" t="str">
        <f t="shared" si="5"/>
        <v>JORDAN</v>
      </c>
      <c r="N8" t="str">
        <f t="shared" si="6"/>
        <v>jordan</v>
      </c>
      <c r="O8" t="str">
        <f t="shared" si="7"/>
        <v>C</v>
      </c>
      <c r="P8" t="str">
        <f t="shared" si="8"/>
        <v>Jordan Kapoor</v>
      </c>
      <c r="Q8" t="str">
        <f t="shared" si="9"/>
        <v>Jordan</v>
      </c>
      <c r="R8" t="str">
        <f t="shared" si="10"/>
        <v>Jordan</v>
      </c>
    </row>
    <row r="9" spans="1:18" ht="15.6" x14ac:dyDescent="0.3">
      <c r="A9" s="4">
        <v>107</v>
      </c>
      <c r="B9" s="2" t="s">
        <v>10</v>
      </c>
      <c r="C9" s="2" t="s">
        <v>27</v>
      </c>
      <c r="D9" s="3">
        <v>94</v>
      </c>
      <c r="E9" s="3">
        <v>89</v>
      </c>
      <c r="F9" s="3">
        <v>55</v>
      </c>
      <c r="G9" s="3">
        <v>74</v>
      </c>
      <c r="H9">
        <f t="shared" si="0"/>
        <v>312</v>
      </c>
      <c r="I9">
        <f t="shared" si="1"/>
        <v>78</v>
      </c>
      <c r="J9" s="5">
        <f t="shared" si="2"/>
        <v>0.78</v>
      </c>
      <c r="K9">
        <f t="shared" si="3"/>
        <v>55</v>
      </c>
      <c r="L9">
        <f t="shared" si="4"/>
        <v>94</v>
      </c>
      <c r="M9" t="str">
        <f t="shared" si="5"/>
        <v>MADISON</v>
      </c>
      <c r="N9" t="str">
        <f t="shared" si="6"/>
        <v>madison</v>
      </c>
      <c r="O9" t="str">
        <f t="shared" si="7"/>
        <v>B</v>
      </c>
      <c r="P9" t="str">
        <f t="shared" si="8"/>
        <v>Madison Reddy</v>
      </c>
      <c r="Q9" t="str">
        <f t="shared" si="9"/>
        <v>Madison</v>
      </c>
      <c r="R9" t="str">
        <f t="shared" si="10"/>
        <v>Madison</v>
      </c>
    </row>
    <row r="10" spans="1:18" ht="15.6" x14ac:dyDescent="0.3">
      <c r="A10" s="4">
        <v>108</v>
      </c>
      <c r="B10" s="2" t="s">
        <v>11</v>
      </c>
      <c r="C10" s="2" t="s">
        <v>28</v>
      </c>
      <c r="D10" s="3">
        <v>52</v>
      </c>
      <c r="E10" s="3">
        <v>56</v>
      </c>
      <c r="F10" s="3">
        <v>66</v>
      </c>
      <c r="G10" s="3">
        <v>51</v>
      </c>
      <c r="H10">
        <f t="shared" si="0"/>
        <v>225</v>
      </c>
      <c r="I10">
        <f t="shared" si="1"/>
        <v>56.25</v>
      </c>
      <c r="J10" s="5">
        <f t="shared" si="2"/>
        <v>0.5625</v>
      </c>
      <c r="K10">
        <f t="shared" si="3"/>
        <v>51</v>
      </c>
      <c r="L10">
        <f t="shared" si="4"/>
        <v>66</v>
      </c>
      <c r="M10" t="str">
        <f t="shared" si="5"/>
        <v>MAYA</v>
      </c>
      <c r="N10" t="str">
        <f t="shared" si="6"/>
        <v>maya</v>
      </c>
      <c r="O10" t="str">
        <f t="shared" si="7"/>
        <v>C</v>
      </c>
      <c r="P10" t="str">
        <f t="shared" si="8"/>
        <v>Maya Joshi</v>
      </c>
      <c r="Q10" t="str">
        <f t="shared" si="9"/>
        <v>Maya</v>
      </c>
      <c r="R10" t="str">
        <f t="shared" si="10"/>
        <v>Maya</v>
      </c>
    </row>
    <row r="11" spans="1:18" ht="15.6" x14ac:dyDescent="0.3">
      <c r="A11" s="4">
        <v>109</v>
      </c>
      <c r="B11" s="2" t="s">
        <v>12</v>
      </c>
      <c r="C11" s="2" t="s">
        <v>29</v>
      </c>
      <c r="D11" s="3">
        <v>90</v>
      </c>
      <c r="E11" s="3">
        <v>97</v>
      </c>
      <c r="F11" s="3">
        <v>43</v>
      </c>
      <c r="G11" s="3">
        <v>62</v>
      </c>
      <c r="H11">
        <f t="shared" si="0"/>
        <v>292</v>
      </c>
      <c r="I11">
        <f t="shared" si="1"/>
        <v>73</v>
      </c>
      <c r="J11" s="5">
        <f t="shared" si="2"/>
        <v>0.73</v>
      </c>
      <c r="K11">
        <f t="shared" si="3"/>
        <v>43</v>
      </c>
      <c r="L11">
        <f t="shared" si="4"/>
        <v>97</v>
      </c>
      <c r="M11" t="str">
        <f t="shared" si="5"/>
        <v>MIA</v>
      </c>
      <c r="N11" t="str">
        <f t="shared" si="6"/>
        <v>mia</v>
      </c>
      <c r="O11" t="str">
        <f t="shared" si="7"/>
        <v>B</v>
      </c>
      <c r="P11" t="str">
        <f t="shared" si="8"/>
        <v>Mia Choudhary</v>
      </c>
      <c r="Q11" t="str">
        <f t="shared" si="9"/>
        <v>Mia</v>
      </c>
      <c r="R11" t="str">
        <f t="shared" si="10"/>
        <v>Mia</v>
      </c>
    </row>
    <row r="12" spans="1:18" ht="15.6" x14ac:dyDescent="0.3">
      <c r="A12" s="4">
        <v>110</v>
      </c>
      <c r="B12" s="2" t="s">
        <v>13</v>
      </c>
      <c r="C12" s="2" t="s">
        <v>31</v>
      </c>
      <c r="D12" s="3">
        <v>71</v>
      </c>
      <c r="E12" s="3">
        <v>71</v>
      </c>
      <c r="F12" s="3">
        <v>90</v>
      </c>
      <c r="G12" s="3">
        <v>40</v>
      </c>
      <c r="H12">
        <f t="shared" si="0"/>
        <v>272</v>
      </c>
      <c r="I12">
        <f t="shared" si="1"/>
        <v>68</v>
      </c>
      <c r="J12" s="5">
        <f t="shared" si="2"/>
        <v>0.68</v>
      </c>
      <c r="K12">
        <f t="shared" si="3"/>
        <v>40</v>
      </c>
      <c r="L12">
        <f t="shared" si="4"/>
        <v>90</v>
      </c>
      <c r="M12" t="str">
        <f t="shared" si="5"/>
        <v>NOAH</v>
      </c>
      <c r="N12" t="str">
        <f t="shared" si="6"/>
        <v>noah</v>
      </c>
      <c r="O12" t="str">
        <f t="shared" si="7"/>
        <v>C</v>
      </c>
      <c r="P12" t="str">
        <f t="shared" si="8"/>
        <v>Noah Verma</v>
      </c>
      <c r="Q12" t="str">
        <f t="shared" si="9"/>
        <v>Noah</v>
      </c>
      <c r="R12" t="str">
        <f t="shared" si="10"/>
        <v>Noah</v>
      </c>
    </row>
    <row r="13" spans="1:18" ht="15.6" x14ac:dyDescent="0.3">
      <c r="A13" s="4">
        <v>111</v>
      </c>
      <c r="B13" s="2" t="s">
        <v>14</v>
      </c>
      <c r="C13" s="2" t="s">
        <v>30</v>
      </c>
      <c r="D13" s="3">
        <v>95</v>
      </c>
      <c r="E13" s="3">
        <v>61</v>
      </c>
      <c r="F13" s="3">
        <v>43</v>
      </c>
      <c r="G13" s="3">
        <v>80</v>
      </c>
      <c r="H13">
        <f t="shared" si="0"/>
        <v>279</v>
      </c>
      <c r="I13">
        <f t="shared" si="1"/>
        <v>69.75</v>
      </c>
      <c r="J13" s="5">
        <f t="shared" si="2"/>
        <v>0.69750000000000001</v>
      </c>
      <c r="K13">
        <f t="shared" si="3"/>
        <v>43</v>
      </c>
      <c r="L13">
        <f t="shared" si="4"/>
        <v>95</v>
      </c>
      <c r="M13" t="str">
        <f t="shared" si="5"/>
        <v>OLIVIA</v>
      </c>
      <c r="N13" t="str">
        <f t="shared" si="6"/>
        <v>olivia</v>
      </c>
      <c r="O13" t="str">
        <f t="shared" si="7"/>
        <v>C</v>
      </c>
      <c r="P13" t="str">
        <f t="shared" si="8"/>
        <v>Olivia Nair</v>
      </c>
      <c r="Q13" t="str">
        <f t="shared" si="9"/>
        <v>Olivia</v>
      </c>
      <c r="R13" t="str">
        <f t="shared" si="10"/>
        <v>Olivia</v>
      </c>
    </row>
    <row r="14" spans="1:18" ht="15.6" x14ac:dyDescent="0.3">
      <c r="A14" s="4">
        <v>112</v>
      </c>
      <c r="B14" s="2" t="s">
        <v>15</v>
      </c>
      <c r="C14" s="2" t="s">
        <v>32</v>
      </c>
      <c r="D14" s="3">
        <v>73</v>
      </c>
      <c r="E14" s="3">
        <v>82</v>
      </c>
      <c r="F14" s="3">
        <v>65</v>
      </c>
      <c r="G14" s="3">
        <v>45</v>
      </c>
      <c r="H14">
        <f t="shared" si="0"/>
        <v>265</v>
      </c>
      <c r="I14">
        <f t="shared" si="1"/>
        <v>66.25</v>
      </c>
      <c r="J14" s="5">
        <f t="shared" si="2"/>
        <v>0.66249999999999998</v>
      </c>
      <c r="K14">
        <f t="shared" si="3"/>
        <v>45</v>
      </c>
      <c r="L14">
        <f t="shared" si="4"/>
        <v>82</v>
      </c>
      <c r="M14" t="str">
        <f t="shared" si="5"/>
        <v>SARAH</v>
      </c>
      <c r="N14" t="str">
        <f t="shared" si="6"/>
        <v>sarah</v>
      </c>
      <c r="O14" t="str">
        <f t="shared" si="7"/>
        <v>C</v>
      </c>
      <c r="P14" t="str">
        <f t="shared" si="8"/>
        <v>Sarah Bansal</v>
      </c>
      <c r="Q14" t="str">
        <f t="shared" si="9"/>
        <v>Sarah</v>
      </c>
      <c r="R14" t="str">
        <f t="shared" si="10"/>
        <v>Sarah</v>
      </c>
    </row>
    <row r="15" spans="1:18" ht="15.6" x14ac:dyDescent="0.3">
      <c r="A15" s="4">
        <v>113</v>
      </c>
      <c r="B15" s="2" t="s">
        <v>16</v>
      </c>
      <c r="C15" s="2" t="s">
        <v>33</v>
      </c>
      <c r="D15" s="3">
        <v>88</v>
      </c>
      <c r="E15" s="3">
        <v>64</v>
      </c>
      <c r="F15" s="3">
        <v>67</v>
      </c>
      <c r="G15" s="3">
        <v>96</v>
      </c>
      <c r="H15">
        <f t="shared" si="0"/>
        <v>315</v>
      </c>
      <c r="I15">
        <f t="shared" si="1"/>
        <v>78.75</v>
      </c>
      <c r="J15" s="5">
        <f t="shared" si="2"/>
        <v>0.78749999999999998</v>
      </c>
      <c r="K15">
        <f t="shared" si="3"/>
        <v>64</v>
      </c>
      <c r="L15">
        <f t="shared" si="4"/>
        <v>96</v>
      </c>
      <c r="M15" t="str">
        <f t="shared" si="5"/>
        <v>SOPHIA</v>
      </c>
      <c r="N15" t="str">
        <f t="shared" si="6"/>
        <v>sophia</v>
      </c>
      <c r="O15" t="str">
        <f t="shared" si="7"/>
        <v>B</v>
      </c>
      <c r="P15" t="str">
        <f t="shared" si="8"/>
        <v>Sophia Malhotra</v>
      </c>
      <c r="Q15" t="str">
        <f t="shared" si="9"/>
        <v>Sophia</v>
      </c>
      <c r="R15" t="str">
        <f t="shared" si="10"/>
        <v>Sophia</v>
      </c>
    </row>
    <row r="16" spans="1:18" ht="15.6" x14ac:dyDescent="0.3">
      <c r="A16" s="4">
        <v>114</v>
      </c>
      <c r="B16" s="2" t="s">
        <v>17</v>
      </c>
      <c r="C16" s="2" t="s">
        <v>34</v>
      </c>
      <c r="D16" s="3">
        <v>92</v>
      </c>
      <c r="E16" s="3">
        <v>92</v>
      </c>
      <c r="F16" s="3">
        <v>93</v>
      </c>
      <c r="G16" s="3">
        <v>78</v>
      </c>
      <c r="H16">
        <f t="shared" si="0"/>
        <v>355</v>
      </c>
      <c r="I16">
        <f t="shared" si="1"/>
        <v>88.75</v>
      </c>
      <c r="J16" s="5">
        <f t="shared" si="2"/>
        <v>0.88749999999999996</v>
      </c>
      <c r="K16">
        <f t="shared" si="3"/>
        <v>78</v>
      </c>
      <c r="L16">
        <f t="shared" si="4"/>
        <v>93</v>
      </c>
      <c r="M16" t="str">
        <f t="shared" si="5"/>
        <v>TAYLOR</v>
      </c>
      <c r="N16" t="str">
        <f t="shared" si="6"/>
        <v>taylor</v>
      </c>
      <c r="O16" t="str">
        <f t="shared" si="7"/>
        <v>A</v>
      </c>
      <c r="P16" t="str">
        <f t="shared" si="8"/>
        <v>Taylor Kulkarni</v>
      </c>
      <c r="Q16" t="str">
        <f t="shared" si="9"/>
        <v>Taylor</v>
      </c>
      <c r="R16" t="str">
        <f t="shared" si="10"/>
        <v>Taylor</v>
      </c>
    </row>
    <row r="17" spans="1:18" ht="15.6" x14ac:dyDescent="0.3">
      <c r="A17" s="4">
        <v>115</v>
      </c>
      <c r="B17" s="2" t="s">
        <v>36</v>
      </c>
      <c r="C17" s="2" t="s">
        <v>35</v>
      </c>
      <c r="D17" s="3">
        <v>46</v>
      </c>
      <c r="E17" s="3">
        <v>56</v>
      </c>
      <c r="F17" s="3">
        <v>95</v>
      </c>
      <c r="G17" s="3">
        <v>78</v>
      </c>
      <c r="H17">
        <f t="shared" si="0"/>
        <v>275</v>
      </c>
      <c r="I17">
        <f t="shared" si="1"/>
        <v>68.75</v>
      </c>
      <c r="J17" s="5">
        <f t="shared" si="2"/>
        <v>0.6875</v>
      </c>
      <c r="K17">
        <f t="shared" si="3"/>
        <v>46</v>
      </c>
      <c r="L17">
        <f t="shared" si="4"/>
        <v>95</v>
      </c>
      <c r="M17" t="str">
        <f t="shared" si="5"/>
        <v>ARJUN</v>
      </c>
      <c r="N17" t="str">
        <f t="shared" si="6"/>
        <v>arjun</v>
      </c>
      <c r="O17" t="str">
        <f t="shared" si="7"/>
        <v>C</v>
      </c>
      <c r="P17" t="str">
        <f t="shared" si="8"/>
        <v>Arjun Singh</v>
      </c>
      <c r="Q17" t="str">
        <f t="shared" si="9"/>
        <v>Arjun</v>
      </c>
      <c r="R17" t="str">
        <f t="shared" si="10"/>
        <v>Arjun</v>
      </c>
    </row>
    <row r="19" spans="1:18" x14ac:dyDescent="0.3">
      <c r="A19" s="1" t="s">
        <v>45</v>
      </c>
      <c r="B19" s="6">
        <f>COUNT(A3:A17)</f>
        <v>15</v>
      </c>
      <c r="C19" s="8" t="s">
        <v>49</v>
      </c>
      <c r="D19" s="6">
        <f>COUNTIF(I3:I17,"&gt;75")</f>
        <v>3</v>
      </c>
    </row>
  </sheetData>
  <mergeCells count="1">
    <mergeCell ref="A1:R1"/>
  </mergeCells>
  <dataValidations count="1">
    <dataValidation type="whole" allowBlank="1" showInputMessage="1" showErrorMessage="1" error="The marks should be between 33 and 100" promptTitle="Enter marks between 33 and 100" sqref="D3:G16" xr:uid="{ED22F336-0F52-40F4-A068-A09E101B3F3C}">
      <formula1>33</formula1>
      <formula2>100</formula2>
    </dataValidation>
  </dataValidations>
  <pageMargins left="0.70866141732283472" right="0.70866141732283472" top="0.74803149606299213" bottom="0.74803149606299213" header="0.31496062992125984" footer="0.31496062992125984"/>
  <pageSetup orientation="portrait" r:id="rId1"/>
  <headerFooter>
    <oddHeader xml:space="preserve">&amp;L&amp;G&amp;RDarshan University </oddHeader>
    <oddFooter>&amp;R&amp;P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Monisha Samanta</dc:creator>
  <cp:lastModifiedBy>Monisha Samanta</cp:lastModifiedBy>
  <dcterms:created xsi:type="dcterms:W3CDTF">2026-07-27T01:21:28Z</dcterms:created>
  <dcterms:modified xsi:type="dcterms:W3CDTF">2026-07-27T02:31:10Z</dcterms:modified>
</cp:coreProperties>
</file>