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E:\3rdSem_New\OAT\"/>
    </mc:Choice>
  </mc:AlternateContent>
  <xr:revisionPtr revIDLastSave="0" documentId="13_ncr:1_{ACAA329E-1C54-453D-AD02-9974758BC339}" xr6:coauthVersionLast="47" xr6:coauthVersionMax="47" xr10:uidLastSave="{00000000-0000-0000-0000-000000000000}"/>
  <bookViews>
    <workbookView xWindow="-120" yWindow="-120" windowWidth="29040" windowHeight="15720" xr2:uid="{DD71289A-ECF4-461A-86CA-5116CB66379F}"/>
  </bookViews>
  <sheets>
    <sheet name="Sheet1" sheetId="1" r:id="rId1"/>
    <sheet name="Sheet2" sheetId="2" r:id="rId2"/>
  </sheets>
  <calcPr calcId="181029"/>
  <pivotCaches>
    <pivotCache cacheId="6" r:id="rId3"/>
  </pivotCaches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L38" i="1" l="1"/>
  <c r="L36" i="1"/>
  <c r="I3" i="1"/>
  <c r="I4" i="1"/>
  <c r="I5" i="1"/>
  <c r="I6" i="1"/>
  <c r="I7" i="1"/>
  <c r="I8" i="1"/>
  <c r="I9" i="1"/>
  <c r="I10" i="1"/>
  <c r="I11" i="1"/>
  <c r="I12" i="1"/>
  <c r="I13" i="1"/>
  <c r="I14" i="1"/>
  <c r="I15" i="1"/>
  <c r="I16" i="1"/>
  <c r="I17" i="1"/>
  <c r="I18" i="1"/>
  <c r="I19" i="1"/>
  <c r="I20" i="1"/>
  <c r="I21" i="1"/>
  <c r="I22" i="1"/>
  <c r="I23" i="1"/>
  <c r="I24" i="1"/>
  <c r="I25" i="1"/>
  <c r="I26" i="1"/>
  <c r="I27" i="1"/>
  <c r="I28" i="1"/>
  <c r="I29" i="1"/>
  <c r="I30" i="1"/>
  <c r="I31" i="1"/>
  <c r="I32" i="1"/>
  <c r="I33" i="1"/>
  <c r="I34" i="1"/>
  <c r="I35" i="1"/>
  <c r="I36" i="1"/>
  <c r="I37" i="1"/>
  <c r="I38" i="1"/>
  <c r="I39" i="1"/>
  <c r="I40" i="1"/>
  <c r="I41" i="1"/>
  <c r="I42" i="1"/>
  <c r="I43" i="1"/>
  <c r="I44" i="1"/>
  <c r="I45" i="1"/>
  <c r="I46" i="1"/>
  <c r="I47" i="1"/>
  <c r="I48" i="1"/>
  <c r="I49" i="1"/>
  <c r="I50" i="1"/>
  <c r="I51" i="1"/>
  <c r="I2" i="1"/>
  <c r="L34" i="1"/>
  <c r="L32" i="1"/>
  <c r="L30" i="1"/>
  <c r="L28" i="1"/>
</calcChain>
</file>

<file path=xl/sharedStrings.xml><?xml version="1.0" encoding="utf-8"?>
<sst xmlns="http://schemas.openxmlformats.org/spreadsheetml/2006/main" count="303" uniqueCount="86">
  <si>
    <t>ID</t>
  </si>
  <si>
    <t>Name</t>
  </si>
  <si>
    <t>Age</t>
  </si>
  <si>
    <t>Department</t>
  </si>
  <si>
    <t>Salary (USD)</t>
  </si>
  <si>
    <t>Experience (Years)</t>
  </si>
  <si>
    <t>Sales (Units)</t>
  </si>
  <si>
    <t>Region</t>
  </si>
  <si>
    <t>Alice Smith</t>
  </si>
  <si>
    <t>Sales</t>
  </si>
  <si>
    <t>North</t>
  </si>
  <si>
    <t>Bob Johnson</t>
  </si>
  <si>
    <t>Engineering</t>
  </si>
  <si>
    <t>West</t>
  </si>
  <si>
    <t>Charlie Brown</t>
  </si>
  <si>
    <t>Marketing</t>
  </si>
  <si>
    <t>East</t>
  </si>
  <si>
    <t>Diana Prince</t>
  </si>
  <si>
    <t>HR</t>
  </si>
  <si>
    <t>South</t>
  </si>
  <si>
    <t>Ethan Hunt</t>
  </si>
  <si>
    <t>Fiona Glenanne</t>
  </si>
  <si>
    <t>George Clark</t>
  </si>
  <si>
    <t>Finance</t>
  </si>
  <si>
    <t>Hannah Abbott</t>
  </si>
  <si>
    <t>Ian Malcolm</t>
  </si>
  <si>
    <t>Julia Roberts</t>
  </si>
  <si>
    <t>Kevin Bacon</t>
  </si>
  <si>
    <t>Laura Croft</t>
  </si>
  <si>
    <t>Michael Scott</t>
  </si>
  <si>
    <t>Management</t>
  </si>
  <si>
    <t>Nina Dobrev</t>
  </si>
  <si>
    <t>Oscar Isaac</t>
  </si>
  <si>
    <t>Paula Patton</t>
  </si>
  <si>
    <t>Quentin Tarantino</t>
  </si>
  <si>
    <t>Rachel Green</t>
  </si>
  <si>
    <t>Steve Rogers</t>
  </si>
  <si>
    <t>Tina Fey</t>
  </si>
  <si>
    <t>Uma Thurman</t>
  </si>
  <si>
    <t>Victor Vance</t>
  </si>
  <si>
    <t>Wanda Maximoff</t>
  </si>
  <si>
    <t>Xavier Woods</t>
  </si>
  <si>
    <t>Yara Shahidi</t>
  </si>
  <si>
    <t>Zack Snyder</t>
  </si>
  <si>
    <t>Amy Adams</t>
  </si>
  <si>
    <t>Bruce Wayne</t>
  </si>
  <si>
    <t>Chloe Grace</t>
  </si>
  <si>
    <t>David Tennant</t>
  </si>
  <si>
    <t>Emily Blunt</t>
  </si>
  <si>
    <t>Frank Castle</t>
  </si>
  <si>
    <t>Grace Kelly</t>
  </si>
  <si>
    <t>Henry Cavill</t>
  </si>
  <si>
    <t>Iris West</t>
  </si>
  <si>
    <t>Jack Sparrow</t>
  </si>
  <si>
    <t>Karen Page</t>
  </si>
  <si>
    <t>Luke Skywalker</t>
  </si>
  <si>
    <t>Monica Geller</t>
  </si>
  <si>
    <t>Nathan Drake</t>
  </si>
  <si>
    <t>Olivia Wilde</t>
  </si>
  <si>
    <t>Peter Parker</t>
  </si>
  <si>
    <t>Quinn Fabray</t>
  </si>
  <si>
    <t>Ryan Reynolds</t>
  </si>
  <si>
    <t>Sarah Connor</t>
  </si>
  <si>
    <t>Tom Holland</t>
  </si>
  <si>
    <t>Ursula Corbero</t>
  </si>
  <si>
    <t>Vincent Vega</t>
  </si>
  <si>
    <t>Wade Wilson</t>
  </si>
  <si>
    <t>Zoey Deschanel</t>
  </si>
  <si>
    <t>Product</t>
  </si>
  <si>
    <t>Laptop Pro</t>
  </si>
  <si>
    <t>Wireless Mouse</t>
  </si>
  <si>
    <t>Office Chair</t>
  </si>
  <si>
    <t>Standing Desk</t>
  </si>
  <si>
    <t>UltraWide Monitor</t>
  </si>
  <si>
    <t>Mechanical Keyboard</t>
  </si>
  <si>
    <t>Row Labels</t>
  </si>
  <si>
    <t>Grand Total</t>
  </si>
  <si>
    <t>Sum of Sales (Units)</t>
  </si>
  <si>
    <t>Column Labels</t>
  </si>
  <si>
    <t>Total Employess</t>
  </si>
  <si>
    <t>Employee in Finance</t>
  </si>
  <si>
    <t>Total salary of marketing</t>
  </si>
  <si>
    <t>Experience less than 8 years</t>
  </si>
  <si>
    <t>Grade</t>
  </si>
  <si>
    <t>Vlookup(20)</t>
  </si>
  <si>
    <t>Hlookup(4)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</si>
</sst>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1"/>
      <color theme="1"/>
      <name val="Arial"/>
      <family val="2"/>
    </font>
    <font>
      <b/>
      <sz val="11"/>
      <color theme="1"/>
      <name val="Arial"/>
      <family val="2"/>
    </font>
    <font>
      <b/>
      <sz val="11"/>
      <color theme="1"/>
      <name val="Calibri"/>
      <family val="2"/>
      <scheme val="minor"/>
    </font>
    <font>
      <b/>
      <u/>
      <sz val="11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medium">
        <color rgb="FFC4C7C5"/>
      </left>
      <right style="medium">
        <color rgb="FFC4C7C5"/>
      </right>
      <top style="medium">
        <color rgb="FFC4C7C5"/>
      </top>
      <bottom style="medium">
        <color rgb="FFC4C7C5"/>
      </bottom>
      <diagonal/>
    </border>
    <border>
      <left style="medium">
        <color rgb="FFC4C7C5"/>
      </left>
      <right style="medium">
        <color rgb="FFC4C7C5"/>
      </right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2" fillId="0" borderId="1" xfId="0" applyFont="1" applyBorder="1" applyAlignment="1">
      <alignment horizontal="left" vertical="center" wrapText="1" indent="1"/>
    </xf>
    <xf numFmtId="0" fontId="1" fillId="0" borderId="1" xfId="0" applyFont="1" applyBorder="1" applyAlignment="1">
      <alignment horizontal="left" vertical="center" wrapText="1" indent="1"/>
    </xf>
    <xf numFmtId="0" fontId="1" fillId="0" borderId="2" xfId="0" applyFont="1" applyBorder="1" applyAlignment="1">
      <alignment horizontal="left" vertical="center" wrapText="1" indent="1"/>
    </xf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0" fontId="3" fillId="0" borderId="0" xfId="0" applyFont="1"/>
    <xf numFmtId="0" fontId="4" fillId="0" borderId="1" xfId="0" applyFont="1" applyBorder="1" applyAlignment="1">
      <alignment horizontal="left" vertical="center" wrapText="1" indent="1"/>
    </xf>
    <xf numFmtId="0" fontId="4" fillId="0" borderId="2" xfId="0" applyFont="1" applyFill="1" applyBorder="1" applyAlignment="1">
      <alignment horizontal="left" vertical="center" wrapText="1" indent="1"/>
    </xf>
    <xf numFmtId="0" fontId="0" fillId="0" borderId="0" xfId="0" pivotButton="1" applyAlignment="1">
      <alignment horizontal="center"/>
    </xf>
  </cellXfs>
  <cellStyles count="1">
    <cellStyle name="Normal" xfId="0" builtinId="0"/>
  </cellStyles>
  <dxfs count="1">
    <dxf>
      <alignment horizontal="center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Salary vs Sales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9.5226190313732445E-2"/>
          <c:y val="0.17634259259259263"/>
          <c:w val="0.87627578615064794"/>
          <c:h val="0.61498432487605714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Sheet1!$E$1</c:f>
              <c:strCache>
                <c:ptCount val="1"/>
                <c:pt idx="0">
                  <c:v>Salary (USD)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val>
            <c:numRef>
              <c:f>Sheet1!$E$2:$E$51</c:f>
              <c:numCache>
                <c:formatCode>General</c:formatCode>
                <c:ptCount val="50"/>
                <c:pt idx="0">
                  <c:v>65000</c:v>
                </c:pt>
                <c:pt idx="1">
                  <c:v>110000</c:v>
                </c:pt>
                <c:pt idx="2">
                  <c:v>72000</c:v>
                </c:pt>
                <c:pt idx="3">
                  <c:v>58000</c:v>
                </c:pt>
                <c:pt idx="4">
                  <c:v>135000</c:v>
                </c:pt>
                <c:pt idx="5">
                  <c:v>68000</c:v>
                </c:pt>
                <c:pt idx="6">
                  <c:v>95000</c:v>
                </c:pt>
                <c:pt idx="7">
                  <c:v>52000</c:v>
                </c:pt>
                <c:pt idx="8">
                  <c:v>105000</c:v>
                </c:pt>
                <c:pt idx="9">
                  <c:v>61000</c:v>
                </c:pt>
                <c:pt idx="10">
                  <c:v>120000</c:v>
                </c:pt>
                <c:pt idx="11">
                  <c:v>55000</c:v>
                </c:pt>
                <c:pt idx="12">
                  <c:v>85000</c:v>
                </c:pt>
                <c:pt idx="13">
                  <c:v>67000</c:v>
                </c:pt>
                <c:pt idx="14">
                  <c:v>98000</c:v>
                </c:pt>
                <c:pt idx="15">
                  <c:v>64000</c:v>
                </c:pt>
                <c:pt idx="16">
                  <c:v>150000</c:v>
                </c:pt>
                <c:pt idx="17">
                  <c:v>48000</c:v>
                </c:pt>
                <c:pt idx="18">
                  <c:v>102000</c:v>
                </c:pt>
                <c:pt idx="19">
                  <c:v>89000</c:v>
                </c:pt>
                <c:pt idx="20">
                  <c:v>75000</c:v>
                </c:pt>
                <c:pt idx="21">
                  <c:v>62000</c:v>
                </c:pt>
                <c:pt idx="22">
                  <c:v>108000</c:v>
                </c:pt>
                <c:pt idx="23">
                  <c:v>54000</c:v>
                </c:pt>
                <c:pt idx="24">
                  <c:v>49000</c:v>
                </c:pt>
                <c:pt idx="25">
                  <c:v>125000</c:v>
                </c:pt>
                <c:pt idx="26">
                  <c:v>92000</c:v>
                </c:pt>
                <c:pt idx="27">
                  <c:v>140000</c:v>
                </c:pt>
                <c:pt idx="28">
                  <c:v>53000</c:v>
                </c:pt>
                <c:pt idx="29">
                  <c:v>88000</c:v>
                </c:pt>
                <c:pt idx="30">
                  <c:v>70000</c:v>
                </c:pt>
                <c:pt idx="31">
                  <c:v>115000</c:v>
                </c:pt>
                <c:pt idx="32">
                  <c:v>66000</c:v>
                </c:pt>
                <c:pt idx="33">
                  <c:v>99000</c:v>
                </c:pt>
                <c:pt idx="34">
                  <c:v>56000</c:v>
                </c:pt>
                <c:pt idx="35">
                  <c:v>130000</c:v>
                </c:pt>
                <c:pt idx="36">
                  <c:v>60000</c:v>
                </c:pt>
                <c:pt idx="37">
                  <c:v>59000</c:v>
                </c:pt>
                <c:pt idx="38">
                  <c:v>82000</c:v>
                </c:pt>
                <c:pt idx="39">
                  <c:v>94000</c:v>
                </c:pt>
                <c:pt idx="40">
                  <c:v>74000</c:v>
                </c:pt>
                <c:pt idx="41">
                  <c:v>47000</c:v>
                </c:pt>
                <c:pt idx="42">
                  <c:v>57000</c:v>
                </c:pt>
                <c:pt idx="43">
                  <c:v>135000</c:v>
                </c:pt>
                <c:pt idx="44">
                  <c:v>106000</c:v>
                </c:pt>
                <c:pt idx="45">
                  <c:v>50000</c:v>
                </c:pt>
                <c:pt idx="46">
                  <c:v>71000</c:v>
                </c:pt>
                <c:pt idx="47">
                  <c:v>80000</c:v>
                </c:pt>
                <c:pt idx="48">
                  <c:v>103000</c:v>
                </c:pt>
                <c:pt idx="49">
                  <c:v>63000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A03-485B-A516-00A36E7DBA73}"/>
            </c:ext>
          </c:extLst>
        </c:ser>
        <c:ser>
          <c:idx val="1"/>
          <c:order val="1"/>
          <c:tx>
            <c:strRef>
              <c:f>Sheet1!$G$1</c:f>
              <c:strCache>
                <c:ptCount val="1"/>
                <c:pt idx="0">
                  <c:v>Sales (Units)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val>
            <c:numRef>
              <c:f>Sheet1!$G$2:$G$51</c:f>
              <c:numCache>
                <c:formatCode>General</c:formatCode>
                <c:ptCount val="50"/>
                <c:pt idx="0">
                  <c:v>120</c:v>
                </c:pt>
                <c:pt idx="1">
                  <c:v>85</c:v>
                </c:pt>
                <c:pt idx="2">
                  <c:v>95</c:v>
                </c:pt>
                <c:pt idx="3">
                  <c:v>40</c:v>
                </c:pt>
                <c:pt idx="4">
                  <c:v>150</c:v>
                </c:pt>
                <c:pt idx="5">
                  <c:v>130</c:v>
                </c:pt>
                <c:pt idx="6">
                  <c:v>110</c:v>
                </c:pt>
                <c:pt idx="7">
                  <c:v>60</c:v>
                </c:pt>
                <c:pt idx="8">
                  <c:v>90</c:v>
                </c:pt>
                <c:pt idx="9">
                  <c:v>50</c:v>
                </c:pt>
                <c:pt idx="10">
                  <c:v>140</c:v>
                </c:pt>
                <c:pt idx="11">
                  <c:v>115</c:v>
                </c:pt>
                <c:pt idx="12">
                  <c:v>200</c:v>
                </c:pt>
                <c:pt idx="13">
                  <c:v>80</c:v>
                </c:pt>
                <c:pt idx="14">
                  <c:v>105</c:v>
                </c:pt>
                <c:pt idx="15">
                  <c:v>45</c:v>
                </c:pt>
                <c:pt idx="16">
                  <c:v>220</c:v>
                </c:pt>
                <c:pt idx="17">
                  <c:v>90</c:v>
                </c:pt>
                <c:pt idx="18">
                  <c:v>95</c:v>
                </c:pt>
                <c:pt idx="19">
                  <c:v>125</c:v>
                </c:pt>
                <c:pt idx="20">
                  <c:v>85</c:v>
                </c:pt>
                <c:pt idx="21">
                  <c:v>110</c:v>
                </c:pt>
                <c:pt idx="22">
                  <c:v>135</c:v>
                </c:pt>
                <c:pt idx="23">
                  <c:v>35</c:v>
                </c:pt>
                <c:pt idx="24">
                  <c:v>70</c:v>
                </c:pt>
                <c:pt idx="25">
                  <c:v>190</c:v>
                </c:pt>
                <c:pt idx="26">
                  <c:v>100</c:v>
                </c:pt>
                <c:pt idx="27">
                  <c:v>160</c:v>
                </c:pt>
                <c:pt idx="28">
                  <c:v>105</c:v>
                </c:pt>
                <c:pt idx="29">
                  <c:v>115</c:v>
                </c:pt>
                <c:pt idx="30">
                  <c:v>55</c:v>
                </c:pt>
                <c:pt idx="31">
                  <c:v>125</c:v>
                </c:pt>
                <c:pt idx="32">
                  <c:v>140</c:v>
                </c:pt>
                <c:pt idx="33">
                  <c:v>175</c:v>
                </c:pt>
                <c:pt idx="34">
                  <c:v>75</c:v>
                </c:pt>
                <c:pt idx="35">
                  <c:v>145</c:v>
                </c:pt>
                <c:pt idx="36">
                  <c:v>50</c:v>
                </c:pt>
                <c:pt idx="37">
                  <c:v>125</c:v>
                </c:pt>
                <c:pt idx="38">
                  <c:v>180</c:v>
                </c:pt>
                <c:pt idx="39">
                  <c:v>110</c:v>
                </c:pt>
                <c:pt idx="40">
                  <c:v>90</c:v>
                </c:pt>
                <c:pt idx="41">
                  <c:v>85</c:v>
                </c:pt>
                <c:pt idx="42">
                  <c:v>45</c:v>
                </c:pt>
                <c:pt idx="43">
                  <c:v>210</c:v>
                </c:pt>
                <c:pt idx="44">
                  <c:v>130</c:v>
                </c:pt>
                <c:pt idx="45">
                  <c:v>95</c:v>
                </c:pt>
                <c:pt idx="46">
                  <c:v>100</c:v>
                </c:pt>
                <c:pt idx="47">
                  <c:v>105</c:v>
                </c:pt>
                <c:pt idx="48">
                  <c:v>115</c:v>
                </c:pt>
                <c:pt idx="49">
                  <c:v>60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A03-485B-A516-00A36E7DBA7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584490015"/>
        <c:axId val="1584487135"/>
      </c:barChart>
      <c:catAx>
        <c:axId val="1584490015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84487135"/>
        <c:crosses val="autoZero"/>
        <c:auto val="1"/>
        <c:lblAlgn val="ctr"/>
        <c:lblOffset val="100"/>
        <c:noMultiLvlLbl val="0"/>
      </c:catAx>
      <c:valAx>
        <c:axId val="158448713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8449001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pieChart>
        <c:varyColors val="1"/>
        <c:ser>
          <c:idx val="0"/>
          <c:order val="0"/>
          <c:tx>
            <c:strRef>
              <c:f>Sheet1!$E$1</c:f>
              <c:strCache>
                <c:ptCount val="1"/>
                <c:pt idx="0">
                  <c:v>Salary (USD)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2"/>
            <c:bubble3D val="0"/>
            <c:spPr>
              <a:solidFill>
                <a:schemeClr val="accent1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3"/>
            <c:bubble3D val="0"/>
            <c:spPr>
              <a:solidFill>
                <a:schemeClr val="accent2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4"/>
            <c:bubble3D val="0"/>
            <c:spPr>
              <a:solidFill>
                <a:schemeClr val="accent3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5"/>
            <c:bubble3D val="0"/>
            <c:spPr>
              <a:solidFill>
                <a:schemeClr val="accent4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6"/>
            <c:bubble3D val="0"/>
            <c:spPr>
              <a:solidFill>
                <a:schemeClr val="accent5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7"/>
            <c:bubble3D val="0"/>
            <c:spPr>
              <a:solidFill>
                <a:schemeClr val="accent6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8"/>
            <c:bubble3D val="0"/>
            <c:spPr>
              <a:solidFill>
                <a:schemeClr val="accent1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9"/>
            <c:bubble3D val="0"/>
            <c:spPr>
              <a:solidFill>
                <a:schemeClr val="accent2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0"/>
            <c:bubble3D val="0"/>
            <c:spPr>
              <a:solidFill>
                <a:schemeClr val="accent3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1"/>
            <c:bubble3D val="0"/>
            <c:spPr>
              <a:solidFill>
                <a:schemeClr val="accent4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2"/>
            <c:bubble3D val="0"/>
            <c:spPr>
              <a:solidFill>
                <a:schemeClr val="accent5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3"/>
            <c:bubble3D val="0"/>
            <c:spPr>
              <a:solidFill>
                <a:schemeClr val="accent6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4"/>
            <c:bubble3D val="0"/>
            <c:spPr>
              <a:solidFill>
                <a:schemeClr val="accent1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5"/>
            <c:bubble3D val="0"/>
            <c:spPr>
              <a:solidFill>
                <a:schemeClr val="accent2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6"/>
            <c:bubble3D val="0"/>
            <c:spPr>
              <a:solidFill>
                <a:schemeClr val="accent3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7"/>
            <c:bubble3D val="0"/>
            <c:spPr>
              <a:solidFill>
                <a:schemeClr val="accent4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8"/>
            <c:bubble3D val="0"/>
            <c:spPr>
              <a:solidFill>
                <a:schemeClr val="accent5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9"/>
            <c:bubble3D val="0"/>
            <c:spPr>
              <a:solidFill>
                <a:schemeClr val="accent6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0"/>
            <c:bubble3D val="0"/>
            <c:spPr>
              <a:solidFill>
                <a:schemeClr val="accent1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1"/>
            <c:bubble3D val="0"/>
            <c:spPr>
              <a:solidFill>
                <a:schemeClr val="accent2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2"/>
            <c:bubble3D val="0"/>
            <c:spPr>
              <a:solidFill>
                <a:schemeClr val="accent3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3"/>
            <c:bubble3D val="0"/>
            <c:spPr>
              <a:solidFill>
                <a:schemeClr val="accent4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4"/>
            <c:bubble3D val="0"/>
            <c:spPr>
              <a:solidFill>
                <a:schemeClr val="accent5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5"/>
            <c:bubble3D val="0"/>
            <c:spPr>
              <a:solidFill>
                <a:schemeClr val="accent6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6"/>
            <c:bubble3D val="0"/>
            <c:spPr>
              <a:solidFill>
                <a:schemeClr val="accent1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7"/>
            <c:bubble3D val="0"/>
            <c:spPr>
              <a:solidFill>
                <a:schemeClr val="accent2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8"/>
            <c:bubble3D val="0"/>
            <c:spPr>
              <a:solidFill>
                <a:schemeClr val="accent3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9"/>
            <c:bubble3D val="0"/>
            <c:spPr>
              <a:solidFill>
                <a:schemeClr val="accent4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0"/>
            <c:bubble3D val="0"/>
            <c:spPr>
              <a:solidFill>
                <a:schemeClr val="accent5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1"/>
            <c:bubble3D val="0"/>
            <c:spPr>
              <a:solidFill>
                <a:schemeClr val="accent6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2"/>
            <c:bubble3D val="0"/>
            <c:spPr>
              <a:solidFill>
                <a:schemeClr val="accent1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3"/>
            <c:bubble3D val="0"/>
            <c:spPr>
              <a:solidFill>
                <a:schemeClr val="accent2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4"/>
            <c:bubble3D val="0"/>
            <c:spPr>
              <a:solidFill>
                <a:schemeClr val="accent3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5"/>
            <c:bubble3D val="0"/>
            <c:spPr>
              <a:solidFill>
                <a:schemeClr val="accent4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6"/>
            <c:bubble3D val="0"/>
            <c:spPr>
              <a:solidFill>
                <a:schemeClr val="accent5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7"/>
            <c:bubble3D val="0"/>
            <c:spPr>
              <a:solidFill>
                <a:schemeClr val="accent6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8"/>
            <c:bubble3D val="0"/>
            <c:spPr>
              <a:solidFill>
                <a:schemeClr val="accent1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9"/>
            <c:bubble3D val="0"/>
            <c:spPr>
              <a:solidFill>
                <a:schemeClr val="accent2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val>
            <c:numRef>
              <c:f>Sheet1!$E$2:$E$51</c:f>
              <c:numCache>
                <c:formatCode>General</c:formatCode>
                <c:ptCount val="50"/>
                <c:pt idx="0">
                  <c:v>65000</c:v>
                </c:pt>
                <c:pt idx="1">
                  <c:v>110000</c:v>
                </c:pt>
                <c:pt idx="2">
                  <c:v>72000</c:v>
                </c:pt>
                <c:pt idx="3">
                  <c:v>58000</c:v>
                </c:pt>
                <c:pt idx="4">
                  <c:v>135000</c:v>
                </c:pt>
                <c:pt idx="5">
                  <c:v>68000</c:v>
                </c:pt>
                <c:pt idx="6">
                  <c:v>95000</c:v>
                </c:pt>
                <c:pt idx="7">
                  <c:v>52000</c:v>
                </c:pt>
                <c:pt idx="8">
                  <c:v>105000</c:v>
                </c:pt>
                <c:pt idx="9">
                  <c:v>61000</c:v>
                </c:pt>
                <c:pt idx="10">
                  <c:v>120000</c:v>
                </c:pt>
                <c:pt idx="11">
                  <c:v>55000</c:v>
                </c:pt>
                <c:pt idx="12">
                  <c:v>85000</c:v>
                </c:pt>
                <c:pt idx="13">
                  <c:v>67000</c:v>
                </c:pt>
                <c:pt idx="14">
                  <c:v>98000</c:v>
                </c:pt>
                <c:pt idx="15">
                  <c:v>64000</c:v>
                </c:pt>
                <c:pt idx="16">
                  <c:v>150000</c:v>
                </c:pt>
                <c:pt idx="17">
                  <c:v>48000</c:v>
                </c:pt>
                <c:pt idx="18">
                  <c:v>102000</c:v>
                </c:pt>
                <c:pt idx="19">
                  <c:v>89000</c:v>
                </c:pt>
                <c:pt idx="20">
                  <c:v>75000</c:v>
                </c:pt>
                <c:pt idx="21">
                  <c:v>62000</c:v>
                </c:pt>
                <c:pt idx="22">
                  <c:v>108000</c:v>
                </c:pt>
                <c:pt idx="23">
                  <c:v>54000</c:v>
                </c:pt>
                <c:pt idx="24">
                  <c:v>49000</c:v>
                </c:pt>
                <c:pt idx="25">
                  <c:v>125000</c:v>
                </c:pt>
                <c:pt idx="26">
                  <c:v>92000</c:v>
                </c:pt>
                <c:pt idx="27">
                  <c:v>140000</c:v>
                </c:pt>
                <c:pt idx="28">
                  <c:v>53000</c:v>
                </c:pt>
                <c:pt idx="29">
                  <c:v>88000</c:v>
                </c:pt>
                <c:pt idx="30">
                  <c:v>70000</c:v>
                </c:pt>
                <c:pt idx="31">
                  <c:v>115000</c:v>
                </c:pt>
                <c:pt idx="32">
                  <c:v>66000</c:v>
                </c:pt>
                <c:pt idx="33">
                  <c:v>99000</c:v>
                </c:pt>
                <c:pt idx="34">
                  <c:v>56000</c:v>
                </c:pt>
                <c:pt idx="35">
                  <c:v>130000</c:v>
                </c:pt>
                <c:pt idx="36">
                  <c:v>60000</c:v>
                </c:pt>
                <c:pt idx="37">
                  <c:v>59000</c:v>
                </c:pt>
                <c:pt idx="38">
                  <c:v>82000</c:v>
                </c:pt>
                <c:pt idx="39">
                  <c:v>94000</c:v>
                </c:pt>
                <c:pt idx="40">
                  <c:v>74000</c:v>
                </c:pt>
                <c:pt idx="41">
                  <c:v>47000</c:v>
                </c:pt>
                <c:pt idx="42">
                  <c:v>57000</c:v>
                </c:pt>
                <c:pt idx="43">
                  <c:v>135000</c:v>
                </c:pt>
                <c:pt idx="44">
                  <c:v>106000</c:v>
                </c:pt>
                <c:pt idx="45">
                  <c:v>50000</c:v>
                </c:pt>
                <c:pt idx="46">
                  <c:v>71000</c:v>
                </c:pt>
                <c:pt idx="47">
                  <c:v>80000</c:v>
                </c:pt>
                <c:pt idx="48">
                  <c:v>103000</c:v>
                </c:pt>
                <c:pt idx="49">
                  <c:v>63000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60C-4A8F-8B12-E63C9035A3A1}"/>
            </c:ext>
          </c:extLst>
        </c:ser>
        <c:ser>
          <c:idx val="1"/>
          <c:order val="1"/>
          <c:tx>
            <c:strRef>
              <c:f>Sheet1!$G$1</c:f>
              <c:strCache>
                <c:ptCount val="1"/>
                <c:pt idx="0">
                  <c:v>Sales (Units)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2"/>
            <c:bubble3D val="0"/>
            <c:spPr>
              <a:solidFill>
                <a:schemeClr val="accent1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3"/>
            <c:bubble3D val="0"/>
            <c:spPr>
              <a:solidFill>
                <a:schemeClr val="accent2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4"/>
            <c:bubble3D val="0"/>
            <c:spPr>
              <a:solidFill>
                <a:schemeClr val="accent3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5"/>
            <c:bubble3D val="0"/>
            <c:spPr>
              <a:solidFill>
                <a:schemeClr val="accent4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6"/>
            <c:bubble3D val="0"/>
            <c:spPr>
              <a:solidFill>
                <a:schemeClr val="accent5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7"/>
            <c:bubble3D val="0"/>
            <c:spPr>
              <a:solidFill>
                <a:schemeClr val="accent6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8"/>
            <c:bubble3D val="0"/>
            <c:spPr>
              <a:solidFill>
                <a:schemeClr val="accent1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9"/>
            <c:bubble3D val="0"/>
            <c:spPr>
              <a:solidFill>
                <a:schemeClr val="accent2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0"/>
            <c:bubble3D val="0"/>
            <c:spPr>
              <a:solidFill>
                <a:schemeClr val="accent3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1"/>
            <c:bubble3D val="0"/>
            <c:spPr>
              <a:solidFill>
                <a:schemeClr val="accent4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2"/>
            <c:bubble3D val="0"/>
            <c:spPr>
              <a:solidFill>
                <a:schemeClr val="accent5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3"/>
            <c:bubble3D val="0"/>
            <c:spPr>
              <a:solidFill>
                <a:schemeClr val="accent6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4"/>
            <c:bubble3D val="0"/>
            <c:spPr>
              <a:solidFill>
                <a:schemeClr val="accent1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5"/>
            <c:bubble3D val="0"/>
            <c:spPr>
              <a:solidFill>
                <a:schemeClr val="accent2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6"/>
            <c:bubble3D val="0"/>
            <c:spPr>
              <a:solidFill>
                <a:schemeClr val="accent3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7"/>
            <c:bubble3D val="0"/>
            <c:spPr>
              <a:solidFill>
                <a:schemeClr val="accent4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8"/>
            <c:bubble3D val="0"/>
            <c:spPr>
              <a:solidFill>
                <a:schemeClr val="accent5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9"/>
            <c:bubble3D val="0"/>
            <c:spPr>
              <a:solidFill>
                <a:schemeClr val="accent6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0"/>
            <c:bubble3D val="0"/>
            <c:spPr>
              <a:solidFill>
                <a:schemeClr val="accent1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1"/>
            <c:bubble3D val="0"/>
            <c:spPr>
              <a:solidFill>
                <a:schemeClr val="accent2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2"/>
            <c:bubble3D val="0"/>
            <c:spPr>
              <a:solidFill>
                <a:schemeClr val="accent3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3"/>
            <c:bubble3D val="0"/>
            <c:spPr>
              <a:solidFill>
                <a:schemeClr val="accent4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4"/>
            <c:bubble3D val="0"/>
            <c:spPr>
              <a:solidFill>
                <a:schemeClr val="accent5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5"/>
            <c:bubble3D val="0"/>
            <c:spPr>
              <a:solidFill>
                <a:schemeClr val="accent6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6"/>
            <c:bubble3D val="0"/>
            <c:spPr>
              <a:solidFill>
                <a:schemeClr val="accent1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7"/>
            <c:bubble3D val="0"/>
            <c:spPr>
              <a:solidFill>
                <a:schemeClr val="accent2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8"/>
            <c:bubble3D val="0"/>
            <c:spPr>
              <a:solidFill>
                <a:schemeClr val="accent3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9"/>
            <c:bubble3D val="0"/>
            <c:spPr>
              <a:solidFill>
                <a:schemeClr val="accent4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0"/>
            <c:bubble3D val="0"/>
            <c:spPr>
              <a:solidFill>
                <a:schemeClr val="accent5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1"/>
            <c:bubble3D val="0"/>
            <c:spPr>
              <a:solidFill>
                <a:schemeClr val="accent6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2"/>
            <c:bubble3D val="0"/>
            <c:spPr>
              <a:solidFill>
                <a:schemeClr val="accent1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3"/>
            <c:bubble3D val="0"/>
            <c:spPr>
              <a:solidFill>
                <a:schemeClr val="accent2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4"/>
            <c:bubble3D val="0"/>
            <c:spPr>
              <a:solidFill>
                <a:schemeClr val="accent3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5"/>
            <c:bubble3D val="0"/>
            <c:spPr>
              <a:solidFill>
                <a:schemeClr val="accent4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6"/>
            <c:bubble3D val="0"/>
            <c:spPr>
              <a:solidFill>
                <a:schemeClr val="accent5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7"/>
            <c:bubble3D val="0"/>
            <c:spPr>
              <a:solidFill>
                <a:schemeClr val="accent6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8"/>
            <c:bubble3D val="0"/>
            <c:spPr>
              <a:solidFill>
                <a:schemeClr val="accent1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9"/>
            <c:bubble3D val="0"/>
            <c:spPr>
              <a:solidFill>
                <a:schemeClr val="accent2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0"/>
            <c:bubble3D val="0"/>
            <c:spPr>
              <a:solidFill>
                <a:schemeClr val="accent3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val>
            <c:numRef>
              <c:f>Sheet1!$G$2:$G$52</c:f>
              <c:numCache>
                <c:formatCode>General</c:formatCode>
                <c:ptCount val="51"/>
                <c:pt idx="0">
                  <c:v>120</c:v>
                </c:pt>
                <c:pt idx="1">
                  <c:v>85</c:v>
                </c:pt>
                <c:pt idx="2">
                  <c:v>95</c:v>
                </c:pt>
                <c:pt idx="3">
                  <c:v>40</c:v>
                </c:pt>
                <c:pt idx="4">
                  <c:v>150</c:v>
                </c:pt>
                <c:pt idx="5">
                  <c:v>130</c:v>
                </c:pt>
                <c:pt idx="6">
                  <c:v>110</c:v>
                </c:pt>
                <c:pt idx="7">
                  <c:v>60</c:v>
                </c:pt>
                <c:pt idx="8">
                  <c:v>90</c:v>
                </c:pt>
                <c:pt idx="9">
                  <c:v>50</c:v>
                </c:pt>
                <c:pt idx="10">
                  <c:v>140</c:v>
                </c:pt>
                <c:pt idx="11">
                  <c:v>115</c:v>
                </c:pt>
                <c:pt idx="12">
                  <c:v>200</c:v>
                </c:pt>
                <c:pt idx="13">
                  <c:v>80</c:v>
                </c:pt>
                <c:pt idx="14">
                  <c:v>105</c:v>
                </c:pt>
                <c:pt idx="15">
                  <c:v>45</c:v>
                </c:pt>
                <c:pt idx="16">
                  <c:v>220</c:v>
                </c:pt>
                <c:pt idx="17">
                  <c:v>90</c:v>
                </c:pt>
                <c:pt idx="18">
                  <c:v>95</c:v>
                </c:pt>
                <c:pt idx="19">
                  <c:v>125</c:v>
                </c:pt>
                <c:pt idx="20">
                  <c:v>85</c:v>
                </c:pt>
                <c:pt idx="21">
                  <c:v>110</c:v>
                </c:pt>
                <c:pt idx="22">
                  <c:v>135</c:v>
                </c:pt>
                <c:pt idx="23">
                  <c:v>35</c:v>
                </c:pt>
                <c:pt idx="24">
                  <c:v>70</c:v>
                </c:pt>
                <c:pt idx="25">
                  <c:v>190</c:v>
                </c:pt>
                <c:pt idx="26">
                  <c:v>100</c:v>
                </c:pt>
                <c:pt idx="27">
                  <c:v>160</c:v>
                </c:pt>
                <c:pt idx="28">
                  <c:v>105</c:v>
                </c:pt>
                <c:pt idx="29">
                  <c:v>115</c:v>
                </c:pt>
                <c:pt idx="30">
                  <c:v>55</c:v>
                </c:pt>
                <c:pt idx="31">
                  <c:v>125</c:v>
                </c:pt>
                <c:pt idx="32">
                  <c:v>140</c:v>
                </c:pt>
                <c:pt idx="33">
                  <c:v>175</c:v>
                </c:pt>
                <c:pt idx="34">
                  <c:v>75</c:v>
                </c:pt>
                <c:pt idx="35">
                  <c:v>145</c:v>
                </c:pt>
                <c:pt idx="36">
                  <c:v>50</c:v>
                </c:pt>
                <c:pt idx="37">
                  <c:v>125</c:v>
                </c:pt>
                <c:pt idx="38">
                  <c:v>180</c:v>
                </c:pt>
                <c:pt idx="39">
                  <c:v>110</c:v>
                </c:pt>
                <c:pt idx="40">
                  <c:v>90</c:v>
                </c:pt>
                <c:pt idx="41">
                  <c:v>85</c:v>
                </c:pt>
                <c:pt idx="42">
                  <c:v>45</c:v>
                </c:pt>
                <c:pt idx="43">
                  <c:v>210</c:v>
                </c:pt>
                <c:pt idx="44">
                  <c:v>130</c:v>
                </c:pt>
                <c:pt idx="45">
                  <c:v>95</c:v>
                </c:pt>
                <c:pt idx="46">
                  <c:v>100</c:v>
                </c:pt>
                <c:pt idx="47">
                  <c:v>105</c:v>
                </c:pt>
                <c:pt idx="48">
                  <c:v>115</c:v>
                </c:pt>
                <c:pt idx="49">
                  <c:v>60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760C-4A8F-8B12-E63C9035A3A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rtl="0"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57150</xdr:colOff>
      <xdr:row>8</xdr:row>
      <xdr:rowOff>33337</xdr:rowOff>
    </xdr:from>
    <xdr:to>
      <xdr:col>16</xdr:col>
      <xdr:colOff>361950</xdr:colOff>
      <xdr:row>21</xdr:row>
      <xdr:rowOff>176212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B71A37EF-0B47-28C3-D050-CD718481E4E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16</xdr:col>
      <xdr:colOff>466725</xdr:colOff>
      <xdr:row>8</xdr:row>
      <xdr:rowOff>23812</xdr:rowOff>
    </xdr:from>
    <xdr:to>
      <xdr:col>24</xdr:col>
      <xdr:colOff>161925</xdr:colOff>
      <xdr:row>21</xdr:row>
      <xdr:rowOff>166687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8C6F9A27-6759-2A41-3275-92D0054D9F4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student" refreshedDate="46237.529917129628" createdVersion="8" refreshedVersion="8" minRefreshableVersion="3" recordCount="52" xr:uid="{4523C2CF-9A4B-4635-B8A0-96070D4239EA}">
  <cacheSource type="worksheet">
    <worksheetSource ref="A1:C53" sheet="Sheet2"/>
  </cacheSource>
  <cacheFields count="3">
    <cacheField name="Product" numFmtId="0">
      <sharedItems count="6">
        <s v="Laptop Pro"/>
        <s v="Wireless Mouse"/>
        <s v="Office Chair"/>
        <s v="Standing Desk"/>
        <s v="UltraWide Monitor"/>
        <s v="Mechanical Keyboard"/>
      </sharedItems>
    </cacheField>
    <cacheField name="Region" numFmtId="0">
      <sharedItems count="4">
        <s v="North"/>
        <s v="West"/>
        <s v="East"/>
        <s v="South"/>
      </sharedItems>
    </cacheField>
    <cacheField name="Sales (Units)" numFmtId="0">
      <sharedItems containsSemiMixedTypes="0" containsString="0" containsNumber="1" containsInteger="1" minValue="35" maxValue="22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2">
  <r>
    <x v="0"/>
    <x v="0"/>
    <n v="120"/>
  </r>
  <r>
    <x v="1"/>
    <x v="1"/>
    <n v="85"/>
  </r>
  <r>
    <x v="2"/>
    <x v="2"/>
    <n v="95"/>
  </r>
  <r>
    <x v="3"/>
    <x v="3"/>
    <n v="40"/>
  </r>
  <r>
    <x v="4"/>
    <x v="0"/>
    <n v="150"/>
  </r>
  <r>
    <x v="0"/>
    <x v="1"/>
    <n v="130"/>
  </r>
  <r>
    <x v="5"/>
    <x v="2"/>
    <n v="110"/>
  </r>
  <r>
    <x v="1"/>
    <x v="3"/>
    <n v="60"/>
  </r>
  <r>
    <x v="2"/>
    <x v="0"/>
    <n v="90"/>
  </r>
  <r>
    <x v="3"/>
    <x v="1"/>
    <n v="50"/>
  </r>
  <r>
    <x v="4"/>
    <x v="2"/>
    <n v="140"/>
  </r>
  <r>
    <x v="0"/>
    <x v="3"/>
    <n v="115"/>
  </r>
  <r>
    <x v="5"/>
    <x v="0"/>
    <n v="200"/>
  </r>
  <r>
    <x v="1"/>
    <x v="1"/>
    <n v="80"/>
  </r>
  <r>
    <x v="2"/>
    <x v="2"/>
    <n v="105"/>
  </r>
  <r>
    <x v="3"/>
    <x v="3"/>
    <n v="45"/>
  </r>
  <r>
    <x v="4"/>
    <x v="0"/>
    <n v="220"/>
  </r>
  <r>
    <x v="0"/>
    <x v="1"/>
    <n v="90"/>
  </r>
  <r>
    <x v="5"/>
    <x v="2"/>
    <n v="95"/>
  </r>
  <r>
    <x v="1"/>
    <x v="3"/>
    <n v="125"/>
  </r>
  <r>
    <x v="2"/>
    <x v="0"/>
    <n v="85"/>
  </r>
  <r>
    <x v="3"/>
    <x v="1"/>
    <n v="110"/>
  </r>
  <r>
    <x v="4"/>
    <x v="2"/>
    <n v="135"/>
  </r>
  <r>
    <x v="0"/>
    <x v="3"/>
    <n v="35"/>
  </r>
  <r>
    <x v="5"/>
    <x v="0"/>
    <n v="70"/>
  </r>
  <r>
    <x v="1"/>
    <x v="1"/>
    <n v="190"/>
  </r>
  <r>
    <x v="2"/>
    <x v="2"/>
    <n v="100"/>
  </r>
  <r>
    <x v="3"/>
    <x v="3"/>
    <n v="160"/>
  </r>
  <r>
    <x v="4"/>
    <x v="0"/>
    <n v="105"/>
  </r>
  <r>
    <x v="0"/>
    <x v="1"/>
    <n v="115"/>
  </r>
  <r>
    <x v="5"/>
    <x v="2"/>
    <n v="55"/>
  </r>
  <r>
    <x v="1"/>
    <x v="3"/>
    <n v="125"/>
  </r>
  <r>
    <x v="2"/>
    <x v="0"/>
    <n v="140"/>
  </r>
  <r>
    <x v="3"/>
    <x v="1"/>
    <n v="175"/>
  </r>
  <r>
    <x v="4"/>
    <x v="2"/>
    <n v="75"/>
  </r>
  <r>
    <x v="0"/>
    <x v="3"/>
    <n v="145"/>
  </r>
  <r>
    <x v="5"/>
    <x v="0"/>
    <n v="50"/>
  </r>
  <r>
    <x v="1"/>
    <x v="1"/>
    <n v="125"/>
  </r>
  <r>
    <x v="2"/>
    <x v="2"/>
    <n v="180"/>
  </r>
  <r>
    <x v="3"/>
    <x v="3"/>
    <n v="110"/>
  </r>
  <r>
    <x v="4"/>
    <x v="0"/>
    <n v="90"/>
  </r>
  <r>
    <x v="0"/>
    <x v="1"/>
    <n v="85"/>
  </r>
  <r>
    <x v="5"/>
    <x v="2"/>
    <n v="45"/>
  </r>
  <r>
    <x v="1"/>
    <x v="3"/>
    <n v="210"/>
  </r>
  <r>
    <x v="2"/>
    <x v="0"/>
    <n v="130"/>
  </r>
  <r>
    <x v="3"/>
    <x v="1"/>
    <n v="95"/>
  </r>
  <r>
    <x v="4"/>
    <x v="2"/>
    <n v="100"/>
  </r>
  <r>
    <x v="0"/>
    <x v="3"/>
    <n v="105"/>
  </r>
  <r>
    <x v="5"/>
    <x v="0"/>
    <n v="115"/>
  </r>
  <r>
    <x v="1"/>
    <x v="1"/>
    <n v="60"/>
  </r>
  <r>
    <x v="2"/>
    <x v="2"/>
    <n v="135"/>
  </r>
  <r>
    <x v="3"/>
    <x v="3"/>
    <n v="12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6551512-0029-4B2E-8F64-5B6D9F6CDFB6}" name="PivotTable3" cacheId="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G14:L22" firstHeaderRow="1" firstDataRow="2" firstDataCol="1"/>
  <pivotFields count="3">
    <pivotField axis="axisRow" showAll="0">
      <items count="7">
        <item x="0"/>
        <item x="5"/>
        <item x="2"/>
        <item x="3"/>
        <item x="4"/>
        <item x="1"/>
        <item t="default"/>
      </items>
    </pivotField>
    <pivotField axis="axisCol" showAll="0">
      <items count="5">
        <item x="2"/>
        <item x="0"/>
        <item x="3"/>
        <item x="1"/>
        <item t="default"/>
      </items>
    </pivotField>
    <pivotField dataField="1" showAll="0"/>
  </pivotFields>
  <rowFields count="1">
    <field x="0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Fields count="1">
    <field x="1"/>
  </colFields>
  <colItems count="5">
    <i>
      <x/>
    </i>
    <i>
      <x v="1"/>
    </i>
    <i>
      <x v="2"/>
    </i>
    <i>
      <x v="3"/>
    </i>
    <i t="grand">
      <x/>
    </i>
  </colItems>
  <dataFields count="1">
    <dataField name="Sum of Sales (Units)" fld="2" baseField="0" baseItem="0"/>
  </dataFields>
  <formats count="1">
    <format dxfId="0">
      <pivotArea field="1" type="button" dataOnly="0" labelOnly="1" outline="0" axis="axisCol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0384A18-312B-4D09-B07D-15B38EB05667}" name="PivotTable2" cacheId="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K3:L10" firstHeaderRow="1" firstDataRow="1" firstDataCol="1"/>
  <pivotFields count="3">
    <pivotField axis="axisRow" showAll="0">
      <items count="7">
        <item x="0"/>
        <item x="5"/>
        <item x="2"/>
        <item x="3"/>
        <item x="4"/>
        <item x="1"/>
        <item t="default"/>
      </items>
    </pivotField>
    <pivotField showAll="0"/>
    <pivotField dataField="1" showAll="0"/>
  </pivotFields>
  <rowFields count="1">
    <field x="0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Items count="1">
    <i/>
  </colItems>
  <dataFields count="1">
    <dataField name="Sum of Sales (Units)" fld="2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F5C2083-73C4-4F26-84A3-8A5C0FB4D5EF}" name="PivotTable1" cacheId="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G3:H8" firstHeaderRow="1" firstDataRow="1" firstDataCol="1"/>
  <pivotFields count="3">
    <pivotField showAll="0">
      <items count="7">
        <item x="0"/>
        <item x="5"/>
        <item x="2"/>
        <item x="3"/>
        <item x="4"/>
        <item x="1"/>
        <item t="default"/>
      </items>
    </pivotField>
    <pivotField axis="axisRow" showAll="0">
      <items count="5">
        <item x="2"/>
        <item x="0"/>
        <item x="3"/>
        <item x="1"/>
        <item t="default"/>
      </items>
    </pivotField>
    <pivotField dataField="1" showAll="0"/>
  </pivotFields>
  <rowFields count="1">
    <field x="1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Sum of Sales (Units)" fld="2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484B5C-BE21-45B7-9D01-75E5D7B13E2D}">
  <dimension ref="A1:L51"/>
  <sheetViews>
    <sheetView tabSelected="1" topLeftCell="A28" zoomScaleNormal="100" workbookViewId="0">
      <selection activeCell="L34" sqref="L34"/>
    </sheetView>
  </sheetViews>
  <sheetFormatPr defaultRowHeight="15" x14ac:dyDescent="0.25"/>
  <cols>
    <col min="2" max="2" width="19.140625" customWidth="1"/>
    <col min="4" max="4" width="18.7109375" customWidth="1"/>
    <col min="6" max="6" width="15" customWidth="1"/>
    <col min="8" max="8" width="10.7109375" customWidth="1"/>
    <col min="9" max="9" width="12.28515625" customWidth="1"/>
    <col min="11" max="11" width="23" customWidth="1"/>
  </cols>
  <sheetData>
    <row r="1" spans="1:9" ht="30.75" thickBot="1" x14ac:dyDescent="0.3">
      <c r="A1" s="8" t="s">
        <v>0</v>
      </c>
      <c r="B1" s="8" t="s">
        <v>1</v>
      </c>
      <c r="C1" s="8" t="s">
        <v>2</v>
      </c>
      <c r="D1" s="8" t="s">
        <v>3</v>
      </c>
      <c r="E1" s="8" t="s">
        <v>4</v>
      </c>
      <c r="F1" s="8" t="s">
        <v>5</v>
      </c>
      <c r="G1" s="8" t="s">
        <v>6</v>
      </c>
      <c r="H1" s="8" t="s">
        <v>7</v>
      </c>
      <c r="I1" s="9" t="s">
        <v>83</v>
      </c>
    </row>
    <row r="2" spans="1:9" ht="15.75" thickBot="1" x14ac:dyDescent="0.3">
      <c r="A2" s="2">
        <v>1</v>
      </c>
      <c r="B2" s="2" t="s">
        <v>8</v>
      </c>
      <c r="C2" s="2">
        <v>29</v>
      </c>
      <c r="D2" s="2" t="s">
        <v>9</v>
      </c>
      <c r="E2" s="2">
        <v>65000</v>
      </c>
      <c r="F2" s="2">
        <v>4</v>
      </c>
      <c r="G2" s="2">
        <v>120</v>
      </c>
      <c r="H2" s="2" t="s">
        <v>10</v>
      </c>
      <c r="I2" t="str">
        <f>IF(G2&lt;=50,"Poor",IF(G2&lt;=100,"Average",IF(G2&lt;=150,"Good","Distinctions")))</f>
        <v>Good</v>
      </c>
    </row>
    <row r="3" spans="1:9" ht="15.75" thickBot="1" x14ac:dyDescent="0.3">
      <c r="A3" s="2">
        <v>2</v>
      </c>
      <c r="B3" s="2" t="s">
        <v>11</v>
      </c>
      <c r="C3" s="2">
        <v>42</v>
      </c>
      <c r="D3" s="2" t="s">
        <v>12</v>
      </c>
      <c r="E3" s="2">
        <v>110000</v>
      </c>
      <c r="F3" s="2">
        <v>12</v>
      </c>
      <c r="G3" s="2">
        <v>85</v>
      </c>
      <c r="H3" s="2" t="s">
        <v>13</v>
      </c>
      <c r="I3" t="str">
        <f t="shared" ref="I3:I51" si="0">IF(G3&lt;=50,"Poor",IF(G3&lt;=100,"Average",IF(G3&lt;=150,"Good","Distinctions")))</f>
        <v>Average</v>
      </c>
    </row>
    <row r="4" spans="1:9" ht="15.75" thickBot="1" x14ac:dyDescent="0.3">
      <c r="A4" s="2">
        <v>3</v>
      </c>
      <c r="B4" s="2" t="s">
        <v>14</v>
      </c>
      <c r="C4" s="2">
        <v>35</v>
      </c>
      <c r="D4" s="2" t="s">
        <v>15</v>
      </c>
      <c r="E4" s="2">
        <v>72000</v>
      </c>
      <c r="F4" s="2">
        <v>7</v>
      </c>
      <c r="G4" s="2">
        <v>95</v>
      </c>
      <c r="H4" s="2" t="s">
        <v>16</v>
      </c>
      <c r="I4" t="str">
        <f t="shared" si="0"/>
        <v>Average</v>
      </c>
    </row>
    <row r="5" spans="1:9" ht="15.75" thickBot="1" x14ac:dyDescent="0.3">
      <c r="A5" s="2">
        <v>4</v>
      </c>
      <c r="B5" s="2" t="s">
        <v>17</v>
      </c>
      <c r="C5" s="2">
        <v>28</v>
      </c>
      <c r="D5" s="2" t="s">
        <v>18</v>
      </c>
      <c r="E5" s="2">
        <v>58000</v>
      </c>
      <c r="F5" s="2">
        <v>3</v>
      </c>
      <c r="G5" s="2">
        <v>40</v>
      </c>
      <c r="H5" s="2" t="s">
        <v>19</v>
      </c>
      <c r="I5" t="str">
        <f t="shared" si="0"/>
        <v>Poor</v>
      </c>
    </row>
    <row r="6" spans="1:9" ht="15.75" thickBot="1" x14ac:dyDescent="0.3">
      <c r="A6" s="2">
        <v>5</v>
      </c>
      <c r="B6" s="2" t="s">
        <v>20</v>
      </c>
      <c r="C6" s="2">
        <v>50</v>
      </c>
      <c r="D6" s="2" t="s">
        <v>12</v>
      </c>
      <c r="E6" s="2">
        <v>135000</v>
      </c>
      <c r="F6" s="2">
        <v>20</v>
      </c>
      <c r="G6" s="2">
        <v>150</v>
      </c>
      <c r="H6" s="2" t="s">
        <v>10</v>
      </c>
      <c r="I6" t="str">
        <f t="shared" si="0"/>
        <v>Good</v>
      </c>
    </row>
    <row r="7" spans="1:9" ht="15.75" thickBot="1" x14ac:dyDescent="0.3">
      <c r="A7" s="2">
        <v>6</v>
      </c>
      <c r="B7" s="2" t="s">
        <v>21</v>
      </c>
      <c r="C7" s="2">
        <v>31</v>
      </c>
      <c r="D7" s="2" t="s">
        <v>9</v>
      </c>
      <c r="E7" s="2">
        <v>68000</v>
      </c>
      <c r="F7" s="2">
        <v>5</v>
      </c>
      <c r="G7" s="2">
        <v>130</v>
      </c>
      <c r="H7" s="2" t="s">
        <v>13</v>
      </c>
      <c r="I7" t="str">
        <f t="shared" si="0"/>
        <v>Good</v>
      </c>
    </row>
    <row r="8" spans="1:9" ht="15.75" thickBot="1" x14ac:dyDescent="0.3">
      <c r="A8" s="2">
        <v>7</v>
      </c>
      <c r="B8" s="2" t="s">
        <v>22</v>
      </c>
      <c r="C8" s="2">
        <v>45</v>
      </c>
      <c r="D8" s="2" t="s">
        <v>23</v>
      </c>
      <c r="E8" s="2">
        <v>95000</v>
      </c>
      <c r="F8" s="2">
        <v>15</v>
      </c>
      <c r="G8" s="2">
        <v>110</v>
      </c>
      <c r="H8" s="2" t="s">
        <v>16</v>
      </c>
      <c r="I8" t="str">
        <f t="shared" si="0"/>
        <v>Good</v>
      </c>
    </row>
    <row r="9" spans="1:9" ht="15.75" thickBot="1" x14ac:dyDescent="0.3">
      <c r="A9" s="2">
        <v>8</v>
      </c>
      <c r="B9" s="2" t="s">
        <v>24</v>
      </c>
      <c r="C9" s="2">
        <v>26</v>
      </c>
      <c r="D9" s="2" t="s">
        <v>15</v>
      </c>
      <c r="E9" s="2">
        <v>52000</v>
      </c>
      <c r="F9" s="2">
        <v>2</v>
      </c>
      <c r="G9" s="2">
        <v>60</v>
      </c>
      <c r="H9" s="2" t="s">
        <v>19</v>
      </c>
      <c r="I9" t="str">
        <f t="shared" si="0"/>
        <v>Average</v>
      </c>
    </row>
    <row r="10" spans="1:9" ht="15.75" thickBot="1" x14ac:dyDescent="0.3">
      <c r="A10" s="2">
        <v>9</v>
      </c>
      <c r="B10" s="2" t="s">
        <v>25</v>
      </c>
      <c r="C10" s="2">
        <v>39</v>
      </c>
      <c r="D10" s="2" t="s">
        <v>12</v>
      </c>
      <c r="E10" s="2">
        <v>105000</v>
      </c>
      <c r="F10" s="2">
        <v>10</v>
      </c>
      <c r="G10" s="2">
        <v>90</v>
      </c>
      <c r="H10" s="2" t="s">
        <v>10</v>
      </c>
      <c r="I10" t="str">
        <f t="shared" si="0"/>
        <v>Average</v>
      </c>
    </row>
    <row r="11" spans="1:9" ht="15.75" thickBot="1" x14ac:dyDescent="0.3">
      <c r="A11" s="2">
        <v>10</v>
      </c>
      <c r="B11" s="2" t="s">
        <v>26</v>
      </c>
      <c r="C11" s="2">
        <v>33</v>
      </c>
      <c r="D11" s="2" t="s">
        <v>18</v>
      </c>
      <c r="E11" s="2">
        <v>61000</v>
      </c>
      <c r="F11" s="2">
        <v>6</v>
      </c>
      <c r="G11" s="2">
        <v>50</v>
      </c>
      <c r="H11" s="2" t="s">
        <v>13</v>
      </c>
      <c r="I11" t="str">
        <f t="shared" si="0"/>
        <v>Poor</v>
      </c>
    </row>
    <row r="12" spans="1:9" ht="15.75" thickBot="1" x14ac:dyDescent="0.3">
      <c r="A12" s="2">
        <v>11</v>
      </c>
      <c r="B12" s="2" t="s">
        <v>27</v>
      </c>
      <c r="C12" s="2">
        <v>48</v>
      </c>
      <c r="D12" s="2" t="s">
        <v>23</v>
      </c>
      <c r="E12" s="2">
        <v>120000</v>
      </c>
      <c r="F12" s="2">
        <v>18</v>
      </c>
      <c r="G12" s="2">
        <v>140</v>
      </c>
      <c r="H12" s="2" t="s">
        <v>16</v>
      </c>
      <c r="I12" t="str">
        <f t="shared" si="0"/>
        <v>Good</v>
      </c>
    </row>
    <row r="13" spans="1:9" ht="15.75" thickBot="1" x14ac:dyDescent="0.3">
      <c r="A13" s="2">
        <v>12</v>
      </c>
      <c r="B13" s="2" t="s">
        <v>28</v>
      </c>
      <c r="C13" s="2">
        <v>27</v>
      </c>
      <c r="D13" s="2" t="s">
        <v>9</v>
      </c>
      <c r="E13" s="2">
        <v>55000</v>
      </c>
      <c r="F13" s="2">
        <v>3</v>
      </c>
      <c r="G13" s="2">
        <v>115</v>
      </c>
      <c r="H13" s="2" t="s">
        <v>19</v>
      </c>
      <c r="I13" t="str">
        <f t="shared" si="0"/>
        <v>Good</v>
      </c>
    </row>
    <row r="14" spans="1:9" ht="15.75" thickBot="1" x14ac:dyDescent="0.3">
      <c r="A14" s="2">
        <v>13</v>
      </c>
      <c r="B14" s="2" t="s">
        <v>29</v>
      </c>
      <c r="C14" s="2">
        <v>41</v>
      </c>
      <c r="D14" s="2" t="s">
        <v>30</v>
      </c>
      <c r="E14" s="2">
        <v>85000</v>
      </c>
      <c r="F14" s="2">
        <v>12</v>
      </c>
      <c r="G14" s="2">
        <v>200</v>
      </c>
      <c r="H14" s="2" t="s">
        <v>10</v>
      </c>
      <c r="I14" t="str">
        <f t="shared" si="0"/>
        <v>Distinctions</v>
      </c>
    </row>
    <row r="15" spans="1:9" ht="15.75" thickBot="1" x14ac:dyDescent="0.3">
      <c r="A15" s="2">
        <v>14</v>
      </c>
      <c r="B15" s="2" t="s">
        <v>31</v>
      </c>
      <c r="C15" s="2">
        <v>30</v>
      </c>
      <c r="D15" s="2" t="s">
        <v>15</v>
      </c>
      <c r="E15" s="2">
        <v>67000</v>
      </c>
      <c r="F15" s="2">
        <v>4</v>
      </c>
      <c r="G15" s="2">
        <v>80</v>
      </c>
      <c r="H15" s="2" t="s">
        <v>13</v>
      </c>
      <c r="I15" t="str">
        <f t="shared" si="0"/>
        <v>Average</v>
      </c>
    </row>
    <row r="16" spans="1:9" ht="15.75" thickBot="1" x14ac:dyDescent="0.3">
      <c r="A16" s="2">
        <v>15</v>
      </c>
      <c r="B16" s="2" t="s">
        <v>32</v>
      </c>
      <c r="C16" s="2">
        <v>36</v>
      </c>
      <c r="D16" s="2" t="s">
        <v>12</v>
      </c>
      <c r="E16" s="2">
        <v>98000</v>
      </c>
      <c r="F16" s="2">
        <v>9</v>
      </c>
      <c r="G16" s="2">
        <v>105</v>
      </c>
      <c r="H16" s="2" t="s">
        <v>16</v>
      </c>
      <c r="I16" t="str">
        <f t="shared" si="0"/>
        <v>Good</v>
      </c>
    </row>
    <row r="17" spans="1:12" ht="15.75" thickBot="1" x14ac:dyDescent="0.3">
      <c r="A17" s="2">
        <v>16</v>
      </c>
      <c r="B17" s="2" t="s">
        <v>33</v>
      </c>
      <c r="C17" s="2">
        <v>34</v>
      </c>
      <c r="D17" s="2" t="s">
        <v>18</v>
      </c>
      <c r="E17" s="2">
        <v>64000</v>
      </c>
      <c r="F17" s="2">
        <v>7</v>
      </c>
      <c r="G17" s="2">
        <v>45</v>
      </c>
      <c r="H17" s="2" t="s">
        <v>19</v>
      </c>
      <c r="I17" t="str">
        <f t="shared" si="0"/>
        <v>Poor</v>
      </c>
    </row>
    <row r="18" spans="1:12" ht="15.75" thickBot="1" x14ac:dyDescent="0.3">
      <c r="A18" s="2">
        <v>17</v>
      </c>
      <c r="B18" s="2" t="s">
        <v>34</v>
      </c>
      <c r="C18" s="2">
        <v>55</v>
      </c>
      <c r="D18" s="2" t="s">
        <v>30</v>
      </c>
      <c r="E18" s="2">
        <v>150000</v>
      </c>
      <c r="F18" s="2">
        <v>25</v>
      </c>
      <c r="G18" s="2">
        <v>220</v>
      </c>
      <c r="H18" s="2" t="s">
        <v>10</v>
      </c>
      <c r="I18" t="str">
        <f t="shared" si="0"/>
        <v>Distinctions</v>
      </c>
    </row>
    <row r="19" spans="1:12" ht="15.75" thickBot="1" x14ac:dyDescent="0.3">
      <c r="A19" s="2">
        <v>18</v>
      </c>
      <c r="B19" s="2" t="s">
        <v>35</v>
      </c>
      <c r="C19" s="2">
        <v>25</v>
      </c>
      <c r="D19" s="2" t="s">
        <v>9</v>
      </c>
      <c r="E19" s="2">
        <v>48000</v>
      </c>
      <c r="F19" s="2">
        <v>1</v>
      </c>
      <c r="G19" s="2">
        <v>90</v>
      </c>
      <c r="H19" s="2" t="s">
        <v>13</v>
      </c>
      <c r="I19" t="str">
        <f t="shared" si="0"/>
        <v>Average</v>
      </c>
    </row>
    <row r="20" spans="1:12" ht="15.75" thickBot="1" x14ac:dyDescent="0.3">
      <c r="A20" s="2">
        <v>19</v>
      </c>
      <c r="B20" s="2" t="s">
        <v>36</v>
      </c>
      <c r="C20" s="2">
        <v>38</v>
      </c>
      <c r="D20" s="2" t="s">
        <v>12</v>
      </c>
      <c r="E20" s="2">
        <v>102000</v>
      </c>
      <c r="F20" s="2">
        <v>11</v>
      </c>
      <c r="G20" s="2">
        <v>95</v>
      </c>
      <c r="H20" s="2" t="s">
        <v>16</v>
      </c>
      <c r="I20" t="str">
        <f t="shared" si="0"/>
        <v>Average</v>
      </c>
    </row>
    <row r="21" spans="1:12" ht="15.75" thickBot="1" x14ac:dyDescent="0.3">
      <c r="A21" s="2">
        <v>20</v>
      </c>
      <c r="B21" s="2" t="s">
        <v>37</v>
      </c>
      <c r="C21" s="2">
        <v>44</v>
      </c>
      <c r="D21" s="2" t="s">
        <v>15</v>
      </c>
      <c r="E21" s="2">
        <v>89000</v>
      </c>
      <c r="F21" s="2">
        <v>14</v>
      </c>
      <c r="G21" s="2">
        <v>125</v>
      </c>
      <c r="H21" s="2" t="s">
        <v>19</v>
      </c>
      <c r="I21" t="str">
        <f t="shared" si="0"/>
        <v>Good</v>
      </c>
    </row>
    <row r="22" spans="1:12" ht="15.75" thickBot="1" x14ac:dyDescent="0.3">
      <c r="A22" s="2">
        <v>21</v>
      </c>
      <c r="B22" s="2" t="s">
        <v>38</v>
      </c>
      <c r="C22" s="2">
        <v>32</v>
      </c>
      <c r="D22" s="2" t="s">
        <v>23</v>
      </c>
      <c r="E22" s="2">
        <v>75000</v>
      </c>
      <c r="F22" s="2">
        <v>6</v>
      </c>
      <c r="G22" s="2">
        <v>85</v>
      </c>
      <c r="H22" s="2" t="s">
        <v>10</v>
      </c>
      <c r="I22" t="str">
        <f t="shared" si="0"/>
        <v>Average</v>
      </c>
    </row>
    <row r="23" spans="1:12" ht="15.75" thickBot="1" x14ac:dyDescent="0.3">
      <c r="A23" s="2">
        <v>22</v>
      </c>
      <c r="B23" s="2" t="s">
        <v>39</v>
      </c>
      <c r="C23" s="2">
        <v>29</v>
      </c>
      <c r="D23" s="2" t="s">
        <v>9</v>
      </c>
      <c r="E23" s="2">
        <v>62000</v>
      </c>
      <c r="F23" s="2">
        <v>4</v>
      </c>
      <c r="G23" s="2">
        <v>110</v>
      </c>
      <c r="H23" s="2" t="s">
        <v>13</v>
      </c>
      <c r="I23" t="str">
        <f t="shared" si="0"/>
        <v>Good</v>
      </c>
    </row>
    <row r="24" spans="1:12" ht="15.75" thickBot="1" x14ac:dyDescent="0.3">
      <c r="A24" s="2">
        <v>23</v>
      </c>
      <c r="B24" s="2" t="s">
        <v>40</v>
      </c>
      <c r="C24" s="2">
        <v>37</v>
      </c>
      <c r="D24" s="2" t="s">
        <v>12</v>
      </c>
      <c r="E24" s="2">
        <v>108000</v>
      </c>
      <c r="F24" s="2">
        <v>10</v>
      </c>
      <c r="G24" s="2">
        <v>135</v>
      </c>
      <c r="H24" s="2" t="s">
        <v>16</v>
      </c>
      <c r="I24" t="str">
        <f t="shared" si="0"/>
        <v>Good</v>
      </c>
    </row>
    <row r="25" spans="1:12" ht="15.75" thickBot="1" x14ac:dyDescent="0.3">
      <c r="A25" s="2">
        <v>24</v>
      </c>
      <c r="B25" s="2" t="s">
        <v>41</v>
      </c>
      <c r="C25" s="2">
        <v>28</v>
      </c>
      <c r="D25" s="2" t="s">
        <v>18</v>
      </c>
      <c r="E25" s="2">
        <v>54000</v>
      </c>
      <c r="F25" s="2">
        <v>3</v>
      </c>
      <c r="G25" s="2">
        <v>35</v>
      </c>
      <c r="H25" s="2" t="s">
        <v>19</v>
      </c>
      <c r="I25" t="str">
        <f t="shared" si="0"/>
        <v>Poor</v>
      </c>
    </row>
    <row r="26" spans="1:12" ht="15.75" thickBot="1" x14ac:dyDescent="0.3">
      <c r="A26" s="2">
        <v>25</v>
      </c>
      <c r="B26" s="2" t="s">
        <v>42</v>
      </c>
      <c r="C26" s="2">
        <v>24</v>
      </c>
      <c r="D26" s="2" t="s">
        <v>15</v>
      </c>
      <c r="E26" s="2">
        <v>49000</v>
      </c>
      <c r="F26" s="2">
        <v>1</v>
      </c>
      <c r="G26" s="2">
        <v>70</v>
      </c>
      <c r="H26" s="2" t="s">
        <v>10</v>
      </c>
      <c r="I26" t="str">
        <f t="shared" si="0"/>
        <v>Average</v>
      </c>
    </row>
    <row r="27" spans="1:12" ht="15.75" thickBot="1" x14ac:dyDescent="0.3">
      <c r="A27" s="2">
        <v>26</v>
      </c>
      <c r="B27" s="2" t="s">
        <v>43</v>
      </c>
      <c r="C27" s="2">
        <v>46</v>
      </c>
      <c r="D27" s="2" t="s">
        <v>30</v>
      </c>
      <c r="E27" s="2">
        <v>125000</v>
      </c>
      <c r="F27" s="2">
        <v>19</v>
      </c>
      <c r="G27" s="2">
        <v>190</v>
      </c>
      <c r="H27" s="2" t="s">
        <v>13</v>
      </c>
      <c r="I27" t="str">
        <f t="shared" si="0"/>
        <v>Distinctions</v>
      </c>
    </row>
    <row r="28" spans="1:12" ht="15.75" thickBot="1" x14ac:dyDescent="0.3">
      <c r="A28" s="2">
        <v>27</v>
      </c>
      <c r="B28" s="2" t="s">
        <v>44</v>
      </c>
      <c r="C28" s="2">
        <v>39</v>
      </c>
      <c r="D28" s="2" t="s">
        <v>23</v>
      </c>
      <c r="E28" s="2">
        <v>92000</v>
      </c>
      <c r="F28" s="2">
        <v>13</v>
      </c>
      <c r="G28" s="2">
        <v>100</v>
      </c>
      <c r="H28" s="2" t="s">
        <v>16</v>
      </c>
      <c r="I28" t="str">
        <f t="shared" si="0"/>
        <v>Average</v>
      </c>
      <c r="K28" s="7" t="s">
        <v>79</v>
      </c>
      <c r="L28" s="7">
        <f>COUNT(A2:A51)</f>
        <v>50</v>
      </c>
    </row>
    <row r="29" spans="1:12" ht="15.75" thickBot="1" x14ac:dyDescent="0.3">
      <c r="A29" s="2">
        <v>28</v>
      </c>
      <c r="B29" s="2" t="s">
        <v>45</v>
      </c>
      <c r="C29" s="2">
        <v>40</v>
      </c>
      <c r="D29" s="2" t="s">
        <v>12</v>
      </c>
      <c r="E29" s="2">
        <v>140000</v>
      </c>
      <c r="F29" s="2">
        <v>16</v>
      </c>
      <c r="G29" s="2">
        <v>160</v>
      </c>
      <c r="H29" s="2" t="s">
        <v>19</v>
      </c>
      <c r="I29" t="str">
        <f t="shared" si="0"/>
        <v>Distinctions</v>
      </c>
      <c r="K29" s="7"/>
      <c r="L29" s="7"/>
    </row>
    <row r="30" spans="1:12" ht="15.75" thickBot="1" x14ac:dyDescent="0.3">
      <c r="A30" s="2">
        <v>29</v>
      </c>
      <c r="B30" s="2" t="s">
        <v>46</v>
      </c>
      <c r="C30" s="2">
        <v>26</v>
      </c>
      <c r="D30" s="2" t="s">
        <v>9</v>
      </c>
      <c r="E30" s="2">
        <v>53000</v>
      </c>
      <c r="F30" s="2">
        <v>2</v>
      </c>
      <c r="G30" s="2">
        <v>105</v>
      </c>
      <c r="H30" s="2" t="s">
        <v>10</v>
      </c>
      <c r="I30" t="str">
        <f t="shared" si="0"/>
        <v>Good</v>
      </c>
      <c r="K30" s="7" t="s">
        <v>80</v>
      </c>
      <c r="L30" s="7">
        <f>COUNTIF(D2:D51,"finance")</f>
        <v>6</v>
      </c>
    </row>
    <row r="31" spans="1:12" ht="15.75" thickBot="1" x14ac:dyDescent="0.3">
      <c r="A31" s="2">
        <v>30</v>
      </c>
      <c r="B31" s="2" t="s">
        <v>47</v>
      </c>
      <c r="C31" s="2">
        <v>43</v>
      </c>
      <c r="D31" s="2" t="s">
        <v>15</v>
      </c>
      <c r="E31" s="2">
        <v>88000</v>
      </c>
      <c r="F31" s="2">
        <v>12</v>
      </c>
      <c r="G31" s="2">
        <v>115</v>
      </c>
      <c r="H31" s="2" t="s">
        <v>13</v>
      </c>
      <c r="I31" t="str">
        <f t="shared" si="0"/>
        <v>Good</v>
      </c>
      <c r="K31" s="7"/>
      <c r="L31" s="7"/>
    </row>
    <row r="32" spans="1:12" ht="15.75" thickBot="1" x14ac:dyDescent="0.3">
      <c r="A32" s="2">
        <v>31</v>
      </c>
      <c r="B32" s="2" t="s">
        <v>48</v>
      </c>
      <c r="C32" s="2">
        <v>35</v>
      </c>
      <c r="D32" s="2" t="s">
        <v>18</v>
      </c>
      <c r="E32" s="2">
        <v>70000</v>
      </c>
      <c r="F32" s="2">
        <v>8</v>
      </c>
      <c r="G32" s="2">
        <v>55</v>
      </c>
      <c r="H32" s="2" t="s">
        <v>16</v>
      </c>
      <c r="I32" t="str">
        <f t="shared" si="0"/>
        <v>Average</v>
      </c>
      <c r="K32" s="7" t="s">
        <v>81</v>
      </c>
      <c r="L32" s="7">
        <f>SUMIF(D2:D51,"marketing",E2:E51)</f>
        <v>618000</v>
      </c>
    </row>
    <row r="33" spans="1:12" ht="15.75" thickBot="1" x14ac:dyDescent="0.3">
      <c r="A33" s="2">
        <v>32</v>
      </c>
      <c r="B33" s="2" t="s">
        <v>49</v>
      </c>
      <c r="C33" s="2">
        <v>49</v>
      </c>
      <c r="D33" s="2" t="s">
        <v>12</v>
      </c>
      <c r="E33" s="2">
        <v>115000</v>
      </c>
      <c r="F33" s="2">
        <v>17</v>
      </c>
      <c r="G33" s="2">
        <v>125</v>
      </c>
      <c r="H33" s="2" t="s">
        <v>19</v>
      </c>
      <c r="I33" t="str">
        <f t="shared" si="0"/>
        <v>Good</v>
      </c>
      <c r="K33" s="7"/>
      <c r="L33" s="7"/>
    </row>
    <row r="34" spans="1:12" ht="15.75" thickBot="1" x14ac:dyDescent="0.3">
      <c r="A34" s="2">
        <v>33</v>
      </c>
      <c r="B34" s="2" t="s">
        <v>50</v>
      </c>
      <c r="C34" s="2">
        <v>31</v>
      </c>
      <c r="D34" s="2" t="s">
        <v>9</v>
      </c>
      <c r="E34" s="2">
        <v>66000</v>
      </c>
      <c r="F34" s="2">
        <v>5</v>
      </c>
      <c r="G34" s="2">
        <v>140</v>
      </c>
      <c r="H34" s="2" t="s">
        <v>10</v>
      </c>
      <c r="I34" t="str">
        <f t="shared" si="0"/>
        <v>Good</v>
      </c>
      <c r="K34" s="7" t="s">
        <v>82</v>
      </c>
      <c r="L34" s="7">
        <f>COUNTIF(F2:F51,"&lt;8")</f>
        <v>25</v>
      </c>
    </row>
    <row r="35" spans="1:12" ht="15.75" thickBot="1" x14ac:dyDescent="0.3">
      <c r="A35" s="2">
        <v>34</v>
      </c>
      <c r="B35" s="2" t="s">
        <v>51</v>
      </c>
      <c r="C35" s="2">
        <v>36</v>
      </c>
      <c r="D35" s="2" t="s">
        <v>30</v>
      </c>
      <c r="E35" s="2">
        <v>99000</v>
      </c>
      <c r="F35" s="2">
        <v>10</v>
      </c>
      <c r="G35" s="2">
        <v>175</v>
      </c>
      <c r="H35" s="2" t="s">
        <v>13</v>
      </c>
      <c r="I35" t="str">
        <f t="shared" si="0"/>
        <v>Distinctions</v>
      </c>
    </row>
    <row r="36" spans="1:12" ht="15.75" thickBot="1" x14ac:dyDescent="0.3">
      <c r="A36" s="2">
        <v>35</v>
      </c>
      <c r="B36" s="2" t="s">
        <v>52</v>
      </c>
      <c r="C36" s="2">
        <v>27</v>
      </c>
      <c r="D36" s="2" t="s">
        <v>15</v>
      </c>
      <c r="E36" s="2">
        <v>56000</v>
      </c>
      <c r="F36" s="2">
        <v>3</v>
      </c>
      <c r="G36" s="2">
        <v>75</v>
      </c>
      <c r="H36" s="2" t="s">
        <v>16</v>
      </c>
      <c r="I36" t="str">
        <f t="shared" si="0"/>
        <v>Average</v>
      </c>
      <c r="K36" s="7" t="s">
        <v>84</v>
      </c>
      <c r="L36" s="7" t="str">
        <f>VLOOKUP(A21,1:1048576,4,FALSE)</f>
        <v>Marketing</v>
      </c>
    </row>
    <row r="37" spans="1:12" ht="15.75" thickBot="1" x14ac:dyDescent="0.3">
      <c r="A37" s="2">
        <v>36</v>
      </c>
      <c r="B37" s="2" t="s">
        <v>53</v>
      </c>
      <c r="C37" s="2">
        <v>52</v>
      </c>
      <c r="D37" s="2" t="s">
        <v>23</v>
      </c>
      <c r="E37" s="2">
        <v>130000</v>
      </c>
      <c r="F37" s="2">
        <v>22</v>
      </c>
      <c r="G37" s="2">
        <v>145</v>
      </c>
      <c r="H37" s="2" t="s">
        <v>19</v>
      </c>
      <c r="I37" t="str">
        <f t="shared" si="0"/>
        <v>Good</v>
      </c>
      <c r="K37" s="7"/>
      <c r="L37" s="7"/>
    </row>
    <row r="38" spans="1:12" ht="15.75" thickBot="1" x14ac:dyDescent="0.3">
      <c r="A38" s="2">
        <v>37</v>
      </c>
      <c r="B38" s="2" t="s">
        <v>54</v>
      </c>
      <c r="C38" s="2">
        <v>30</v>
      </c>
      <c r="D38" s="2" t="s">
        <v>18</v>
      </c>
      <c r="E38" s="2">
        <v>60000</v>
      </c>
      <c r="F38" s="2">
        <v>5</v>
      </c>
      <c r="G38" s="2">
        <v>50</v>
      </c>
      <c r="H38" s="2" t="s">
        <v>10</v>
      </c>
      <c r="I38" t="str">
        <f t="shared" si="0"/>
        <v>Poor</v>
      </c>
      <c r="K38" s="7" t="s">
        <v>85</v>
      </c>
      <c r="L38" s="7" t="str">
        <f>HLOOKUP(Sheet1!D1,Sheet1!1:1048576,19,FALSE)</f>
        <v>Sales</v>
      </c>
    </row>
    <row r="39" spans="1:12" ht="15.75" thickBot="1" x14ac:dyDescent="0.3">
      <c r="A39" s="2">
        <v>38</v>
      </c>
      <c r="B39" s="2" t="s">
        <v>55</v>
      </c>
      <c r="C39" s="2">
        <v>28</v>
      </c>
      <c r="D39" s="2" t="s">
        <v>9</v>
      </c>
      <c r="E39" s="2">
        <v>59000</v>
      </c>
      <c r="F39" s="2">
        <v>4</v>
      </c>
      <c r="G39" s="2">
        <v>125</v>
      </c>
      <c r="H39" s="2" t="s">
        <v>13</v>
      </c>
      <c r="I39" t="str">
        <f t="shared" si="0"/>
        <v>Good</v>
      </c>
      <c r="K39" s="7"/>
      <c r="L39" s="7"/>
    </row>
    <row r="40" spans="1:12" ht="15.75" thickBot="1" x14ac:dyDescent="0.3">
      <c r="A40" s="2">
        <v>39</v>
      </c>
      <c r="B40" s="2" t="s">
        <v>56</v>
      </c>
      <c r="C40" s="2">
        <v>38</v>
      </c>
      <c r="D40" s="2" t="s">
        <v>30</v>
      </c>
      <c r="E40" s="2">
        <v>82000</v>
      </c>
      <c r="F40" s="2">
        <v>11</v>
      </c>
      <c r="G40" s="2">
        <v>180</v>
      </c>
      <c r="H40" s="2" t="s">
        <v>16</v>
      </c>
      <c r="I40" t="str">
        <f t="shared" si="0"/>
        <v>Distinctions</v>
      </c>
    </row>
    <row r="41" spans="1:12" ht="15.75" thickBot="1" x14ac:dyDescent="0.3">
      <c r="A41" s="2">
        <v>40</v>
      </c>
      <c r="B41" s="2" t="s">
        <v>57</v>
      </c>
      <c r="C41" s="2">
        <v>34</v>
      </c>
      <c r="D41" s="2" t="s">
        <v>12</v>
      </c>
      <c r="E41" s="2">
        <v>94000</v>
      </c>
      <c r="F41" s="2">
        <v>8</v>
      </c>
      <c r="G41" s="2">
        <v>110</v>
      </c>
      <c r="H41" s="2" t="s">
        <v>19</v>
      </c>
      <c r="I41" t="str">
        <f t="shared" si="0"/>
        <v>Good</v>
      </c>
    </row>
    <row r="42" spans="1:12" ht="15.75" thickBot="1" x14ac:dyDescent="0.3">
      <c r="A42" s="2">
        <v>41</v>
      </c>
      <c r="B42" s="2" t="s">
        <v>58</v>
      </c>
      <c r="C42" s="2">
        <v>33</v>
      </c>
      <c r="D42" s="2" t="s">
        <v>15</v>
      </c>
      <c r="E42" s="2">
        <v>74000</v>
      </c>
      <c r="F42" s="2">
        <v>7</v>
      </c>
      <c r="G42" s="2">
        <v>90</v>
      </c>
      <c r="H42" s="2" t="s">
        <v>10</v>
      </c>
      <c r="I42" t="str">
        <f t="shared" si="0"/>
        <v>Average</v>
      </c>
    </row>
    <row r="43" spans="1:12" ht="15.75" thickBot="1" x14ac:dyDescent="0.3">
      <c r="A43" s="2">
        <v>42</v>
      </c>
      <c r="B43" s="2" t="s">
        <v>59</v>
      </c>
      <c r="C43" s="2">
        <v>24</v>
      </c>
      <c r="D43" s="2" t="s">
        <v>9</v>
      </c>
      <c r="E43" s="2">
        <v>47000</v>
      </c>
      <c r="F43" s="2">
        <v>1</v>
      </c>
      <c r="G43" s="2">
        <v>85</v>
      </c>
      <c r="H43" s="2" t="s">
        <v>13</v>
      </c>
      <c r="I43" t="str">
        <f t="shared" si="0"/>
        <v>Average</v>
      </c>
    </row>
    <row r="44" spans="1:12" ht="15.75" thickBot="1" x14ac:dyDescent="0.3">
      <c r="A44" s="2">
        <v>43</v>
      </c>
      <c r="B44" s="2" t="s">
        <v>60</v>
      </c>
      <c r="C44" s="2">
        <v>29</v>
      </c>
      <c r="D44" s="2" t="s">
        <v>18</v>
      </c>
      <c r="E44" s="2">
        <v>57000</v>
      </c>
      <c r="F44" s="2">
        <v>4</v>
      </c>
      <c r="G44" s="2">
        <v>45</v>
      </c>
      <c r="H44" s="2" t="s">
        <v>16</v>
      </c>
      <c r="I44" t="str">
        <f t="shared" si="0"/>
        <v>Poor</v>
      </c>
    </row>
    <row r="45" spans="1:12" ht="15.75" thickBot="1" x14ac:dyDescent="0.3">
      <c r="A45" s="2">
        <v>44</v>
      </c>
      <c r="B45" s="2" t="s">
        <v>61</v>
      </c>
      <c r="C45" s="2">
        <v>45</v>
      </c>
      <c r="D45" s="2" t="s">
        <v>30</v>
      </c>
      <c r="E45" s="2">
        <v>135000</v>
      </c>
      <c r="F45" s="2">
        <v>20</v>
      </c>
      <c r="G45" s="2">
        <v>210</v>
      </c>
      <c r="H45" s="2" t="s">
        <v>19</v>
      </c>
      <c r="I45" t="str">
        <f t="shared" si="0"/>
        <v>Distinctions</v>
      </c>
    </row>
    <row r="46" spans="1:12" ht="15.75" thickBot="1" x14ac:dyDescent="0.3">
      <c r="A46" s="2">
        <v>45</v>
      </c>
      <c r="B46" s="2" t="s">
        <v>62</v>
      </c>
      <c r="C46" s="2">
        <v>41</v>
      </c>
      <c r="D46" s="2" t="s">
        <v>12</v>
      </c>
      <c r="E46" s="2">
        <v>106000</v>
      </c>
      <c r="F46" s="2">
        <v>14</v>
      </c>
      <c r="G46" s="2">
        <v>130</v>
      </c>
      <c r="H46" s="2" t="s">
        <v>10</v>
      </c>
      <c r="I46" t="str">
        <f t="shared" si="0"/>
        <v>Good</v>
      </c>
    </row>
    <row r="47" spans="1:12" ht="15.75" thickBot="1" x14ac:dyDescent="0.3">
      <c r="A47" s="2">
        <v>46</v>
      </c>
      <c r="B47" s="2" t="s">
        <v>63</v>
      </c>
      <c r="C47" s="2">
        <v>25</v>
      </c>
      <c r="D47" s="2" t="s">
        <v>9</v>
      </c>
      <c r="E47" s="2">
        <v>50000</v>
      </c>
      <c r="F47" s="2">
        <v>2</v>
      </c>
      <c r="G47" s="2">
        <v>95</v>
      </c>
      <c r="H47" s="2" t="s">
        <v>13</v>
      </c>
      <c r="I47" t="str">
        <f t="shared" si="0"/>
        <v>Average</v>
      </c>
    </row>
    <row r="48" spans="1:12" ht="15.75" thickBot="1" x14ac:dyDescent="0.3">
      <c r="A48" s="2">
        <v>47</v>
      </c>
      <c r="B48" s="2" t="s">
        <v>64</v>
      </c>
      <c r="C48" s="2">
        <v>32</v>
      </c>
      <c r="D48" s="2" t="s">
        <v>15</v>
      </c>
      <c r="E48" s="2">
        <v>71000</v>
      </c>
      <c r="F48" s="2">
        <v>6</v>
      </c>
      <c r="G48" s="2">
        <v>100</v>
      </c>
      <c r="H48" s="2" t="s">
        <v>16</v>
      </c>
      <c r="I48" t="str">
        <f t="shared" si="0"/>
        <v>Average</v>
      </c>
    </row>
    <row r="49" spans="1:9" ht="15.75" thickBot="1" x14ac:dyDescent="0.3">
      <c r="A49" s="2">
        <v>48</v>
      </c>
      <c r="B49" s="2" t="s">
        <v>65</v>
      </c>
      <c r="C49" s="2">
        <v>37</v>
      </c>
      <c r="D49" s="2" t="s">
        <v>23</v>
      </c>
      <c r="E49" s="2">
        <v>80000</v>
      </c>
      <c r="F49" s="2">
        <v>9</v>
      </c>
      <c r="G49" s="2">
        <v>105</v>
      </c>
      <c r="H49" s="2" t="s">
        <v>19</v>
      </c>
      <c r="I49" t="str">
        <f t="shared" si="0"/>
        <v>Good</v>
      </c>
    </row>
    <row r="50" spans="1:9" ht="15.75" thickBot="1" x14ac:dyDescent="0.3">
      <c r="A50" s="2">
        <v>49</v>
      </c>
      <c r="B50" s="2" t="s">
        <v>66</v>
      </c>
      <c r="C50" s="2">
        <v>39</v>
      </c>
      <c r="D50" s="2" t="s">
        <v>12</v>
      </c>
      <c r="E50" s="2">
        <v>103000</v>
      </c>
      <c r="F50" s="2">
        <v>12</v>
      </c>
      <c r="G50" s="2">
        <v>115</v>
      </c>
      <c r="H50" s="2" t="s">
        <v>10</v>
      </c>
      <c r="I50" t="str">
        <f t="shared" si="0"/>
        <v>Good</v>
      </c>
    </row>
    <row r="51" spans="1:9" ht="15.75" thickBot="1" x14ac:dyDescent="0.3">
      <c r="A51" s="2">
        <v>50</v>
      </c>
      <c r="B51" s="2" t="s">
        <v>67</v>
      </c>
      <c r="C51" s="2">
        <v>30</v>
      </c>
      <c r="D51" s="2" t="s">
        <v>18</v>
      </c>
      <c r="E51" s="2">
        <v>63000</v>
      </c>
      <c r="F51" s="3">
        <v>5</v>
      </c>
      <c r="G51" s="3">
        <v>60</v>
      </c>
      <c r="H51" s="3" t="s">
        <v>13</v>
      </c>
      <c r="I51" t="str">
        <f t="shared" si="0"/>
        <v>Average</v>
      </c>
    </row>
  </sheetData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C3BBEC-0499-4972-8C05-E89C95B13F61}">
  <dimension ref="A1:L53"/>
  <sheetViews>
    <sheetView zoomScale="115" zoomScaleNormal="115" workbookViewId="0">
      <selection activeCell="H14" sqref="H14:L14"/>
    </sheetView>
  </sheetViews>
  <sheetFormatPr defaultRowHeight="15" x14ac:dyDescent="0.25"/>
  <cols>
    <col min="1" max="1" width="17.85546875" customWidth="1"/>
    <col min="2" max="2" width="13.7109375" customWidth="1"/>
    <col min="3" max="3" width="16.140625" customWidth="1"/>
    <col min="7" max="7" width="20.140625" bestFit="1" customWidth="1"/>
    <col min="8" max="8" width="16.28515625" bestFit="1" customWidth="1"/>
    <col min="9" max="9" width="6.28515625" bestFit="1" customWidth="1"/>
    <col min="10" max="10" width="7.7109375" customWidth="1"/>
    <col min="11" max="11" width="8" customWidth="1"/>
    <col min="12" max="12" width="12.140625" customWidth="1"/>
  </cols>
  <sheetData>
    <row r="1" spans="1:12" ht="15.75" thickBot="1" x14ac:dyDescent="0.3">
      <c r="A1" s="1" t="s">
        <v>68</v>
      </c>
      <c r="B1" s="1" t="s">
        <v>7</v>
      </c>
      <c r="C1" s="1" t="s">
        <v>6</v>
      </c>
    </row>
    <row r="2" spans="1:12" ht="15.75" thickBot="1" x14ac:dyDescent="0.3">
      <c r="A2" s="2" t="s">
        <v>69</v>
      </c>
      <c r="B2" s="2" t="s">
        <v>10</v>
      </c>
      <c r="C2" s="2">
        <v>120</v>
      </c>
    </row>
    <row r="3" spans="1:12" ht="15.75" thickBot="1" x14ac:dyDescent="0.3">
      <c r="A3" s="2" t="s">
        <v>70</v>
      </c>
      <c r="B3" s="2" t="s">
        <v>13</v>
      </c>
      <c r="C3" s="2">
        <v>85</v>
      </c>
      <c r="G3" s="4" t="s">
        <v>75</v>
      </c>
      <c r="H3" t="s">
        <v>77</v>
      </c>
      <c r="K3" s="4" t="s">
        <v>75</v>
      </c>
      <c r="L3" t="s">
        <v>77</v>
      </c>
    </row>
    <row r="4" spans="1:12" ht="15.75" thickBot="1" x14ac:dyDescent="0.3">
      <c r="A4" s="2" t="s">
        <v>71</v>
      </c>
      <c r="B4" s="2" t="s">
        <v>16</v>
      </c>
      <c r="C4" s="2">
        <v>95</v>
      </c>
      <c r="G4" s="5" t="s">
        <v>16</v>
      </c>
      <c r="H4" s="6">
        <v>1370</v>
      </c>
      <c r="K4" s="5" t="s">
        <v>69</v>
      </c>
      <c r="L4" s="6">
        <v>940</v>
      </c>
    </row>
    <row r="5" spans="1:12" ht="15.75" thickBot="1" x14ac:dyDescent="0.3">
      <c r="A5" s="2" t="s">
        <v>72</v>
      </c>
      <c r="B5" s="2" t="s">
        <v>19</v>
      </c>
      <c r="C5" s="2">
        <v>40</v>
      </c>
      <c r="G5" s="5" t="s">
        <v>10</v>
      </c>
      <c r="H5" s="6">
        <v>1565</v>
      </c>
      <c r="K5" s="5" t="s">
        <v>74</v>
      </c>
      <c r="L5" s="6">
        <v>740</v>
      </c>
    </row>
    <row r="6" spans="1:12" ht="29.25" thickBot="1" x14ac:dyDescent="0.3">
      <c r="A6" s="2" t="s">
        <v>73</v>
      </c>
      <c r="B6" s="2" t="s">
        <v>10</v>
      </c>
      <c r="C6" s="2">
        <v>150</v>
      </c>
      <c r="G6" s="5" t="s">
        <v>19</v>
      </c>
      <c r="H6" s="6">
        <v>1395</v>
      </c>
      <c r="K6" s="5" t="s">
        <v>71</v>
      </c>
      <c r="L6" s="6">
        <v>1060</v>
      </c>
    </row>
    <row r="7" spans="1:12" ht="15.75" thickBot="1" x14ac:dyDescent="0.3">
      <c r="A7" s="2" t="s">
        <v>69</v>
      </c>
      <c r="B7" s="2" t="s">
        <v>13</v>
      </c>
      <c r="C7" s="2">
        <v>130</v>
      </c>
      <c r="G7" s="5" t="s">
        <v>13</v>
      </c>
      <c r="H7" s="6">
        <v>1390</v>
      </c>
      <c r="K7" s="5" t="s">
        <v>72</v>
      </c>
      <c r="L7" s="6">
        <v>905</v>
      </c>
    </row>
    <row r="8" spans="1:12" ht="29.25" thickBot="1" x14ac:dyDescent="0.3">
      <c r="A8" s="2" t="s">
        <v>74</v>
      </c>
      <c r="B8" s="2" t="s">
        <v>16</v>
      </c>
      <c r="C8" s="2">
        <v>110</v>
      </c>
      <c r="G8" s="5" t="s">
        <v>76</v>
      </c>
      <c r="H8" s="6">
        <v>5720</v>
      </c>
      <c r="K8" s="5" t="s">
        <v>73</v>
      </c>
      <c r="L8" s="6">
        <v>1015</v>
      </c>
    </row>
    <row r="9" spans="1:12" ht="15.75" thickBot="1" x14ac:dyDescent="0.3">
      <c r="A9" s="2" t="s">
        <v>70</v>
      </c>
      <c r="B9" s="2" t="s">
        <v>19</v>
      </c>
      <c r="C9" s="2">
        <v>60</v>
      </c>
      <c r="K9" s="5" t="s">
        <v>70</v>
      </c>
      <c r="L9" s="6">
        <v>1060</v>
      </c>
    </row>
    <row r="10" spans="1:12" ht="15.75" thickBot="1" x14ac:dyDescent="0.3">
      <c r="A10" s="2" t="s">
        <v>71</v>
      </c>
      <c r="B10" s="2" t="s">
        <v>10</v>
      </c>
      <c r="C10" s="2">
        <v>90</v>
      </c>
      <c r="K10" s="5" t="s">
        <v>76</v>
      </c>
      <c r="L10" s="6">
        <v>5720</v>
      </c>
    </row>
    <row r="11" spans="1:12" ht="15.75" thickBot="1" x14ac:dyDescent="0.3">
      <c r="A11" s="2" t="s">
        <v>72</v>
      </c>
      <c r="B11" s="2" t="s">
        <v>13</v>
      </c>
      <c r="C11" s="2">
        <v>50</v>
      </c>
    </row>
    <row r="12" spans="1:12" ht="29.25" thickBot="1" x14ac:dyDescent="0.3">
      <c r="A12" s="2" t="s">
        <v>73</v>
      </c>
      <c r="B12" s="2" t="s">
        <v>16</v>
      </c>
      <c r="C12" s="2">
        <v>140</v>
      </c>
    </row>
    <row r="13" spans="1:12" ht="15.75" thickBot="1" x14ac:dyDescent="0.3">
      <c r="A13" s="2" t="s">
        <v>69</v>
      </c>
      <c r="B13" s="2" t="s">
        <v>19</v>
      </c>
      <c r="C13" s="2">
        <v>115</v>
      </c>
    </row>
    <row r="14" spans="1:12" ht="29.25" thickBot="1" x14ac:dyDescent="0.3">
      <c r="A14" s="2" t="s">
        <v>74</v>
      </c>
      <c r="B14" s="2" t="s">
        <v>10</v>
      </c>
      <c r="C14" s="2">
        <v>200</v>
      </c>
      <c r="G14" s="4" t="s">
        <v>77</v>
      </c>
      <c r="H14" s="10" t="s">
        <v>78</v>
      </c>
    </row>
    <row r="15" spans="1:12" ht="15.75" thickBot="1" x14ac:dyDescent="0.3">
      <c r="A15" s="2" t="s">
        <v>70</v>
      </c>
      <c r="B15" s="2" t="s">
        <v>13</v>
      </c>
      <c r="C15" s="2">
        <v>80</v>
      </c>
      <c r="G15" s="4" t="s">
        <v>75</v>
      </c>
      <c r="H15" t="s">
        <v>16</v>
      </c>
      <c r="I15" t="s">
        <v>10</v>
      </c>
      <c r="J15" t="s">
        <v>19</v>
      </c>
      <c r="K15" t="s">
        <v>13</v>
      </c>
      <c r="L15" t="s">
        <v>76</v>
      </c>
    </row>
    <row r="16" spans="1:12" ht="15.75" thickBot="1" x14ac:dyDescent="0.3">
      <c r="A16" s="2" t="s">
        <v>71</v>
      </c>
      <c r="B16" s="2" t="s">
        <v>16</v>
      </c>
      <c r="C16" s="2">
        <v>105</v>
      </c>
      <c r="G16" s="5" t="s">
        <v>69</v>
      </c>
      <c r="H16" s="6"/>
      <c r="I16" s="6">
        <v>120</v>
      </c>
      <c r="J16" s="6">
        <v>400</v>
      </c>
      <c r="K16" s="6">
        <v>420</v>
      </c>
      <c r="L16" s="6">
        <v>940</v>
      </c>
    </row>
    <row r="17" spans="1:12" ht="15.75" thickBot="1" x14ac:dyDescent="0.3">
      <c r="A17" s="2" t="s">
        <v>72</v>
      </c>
      <c r="B17" s="2" t="s">
        <v>19</v>
      </c>
      <c r="C17" s="2">
        <v>45</v>
      </c>
      <c r="G17" s="5" t="s">
        <v>74</v>
      </c>
      <c r="H17" s="6">
        <v>305</v>
      </c>
      <c r="I17" s="6">
        <v>435</v>
      </c>
      <c r="J17" s="6"/>
      <c r="K17" s="6"/>
      <c r="L17" s="6">
        <v>740</v>
      </c>
    </row>
    <row r="18" spans="1:12" ht="29.25" thickBot="1" x14ac:dyDescent="0.3">
      <c r="A18" s="2" t="s">
        <v>73</v>
      </c>
      <c r="B18" s="2" t="s">
        <v>10</v>
      </c>
      <c r="C18" s="2">
        <v>220</v>
      </c>
      <c r="G18" s="5" t="s">
        <v>71</v>
      </c>
      <c r="H18" s="6">
        <v>615</v>
      </c>
      <c r="I18" s="6">
        <v>445</v>
      </c>
      <c r="J18" s="6"/>
      <c r="K18" s="6"/>
      <c r="L18" s="6">
        <v>1060</v>
      </c>
    </row>
    <row r="19" spans="1:12" ht="15.75" thickBot="1" x14ac:dyDescent="0.3">
      <c r="A19" s="2" t="s">
        <v>69</v>
      </c>
      <c r="B19" s="2" t="s">
        <v>13</v>
      </c>
      <c r="C19" s="2">
        <v>90</v>
      </c>
      <c r="G19" s="5" t="s">
        <v>72</v>
      </c>
      <c r="H19" s="6"/>
      <c r="I19" s="6"/>
      <c r="J19" s="6">
        <v>475</v>
      </c>
      <c r="K19" s="6">
        <v>430</v>
      </c>
      <c r="L19" s="6">
        <v>905</v>
      </c>
    </row>
    <row r="20" spans="1:12" ht="29.25" thickBot="1" x14ac:dyDescent="0.3">
      <c r="A20" s="2" t="s">
        <v>74</v>
      </c>
      <c r="B20" s="2" t="s">
        <v>16</v>
      </c>
      <c r="C20" s="2">
        <v>95</v>
      </c>
      <c r="G20" s="5" t="s">
        <v>73</v>
      </c>
      <c r="H20" s="6">
        <v>450</v>
      </c>
      <c r="I20" s="6">
        <v>565</v>
      </c>
      <c r="J20" s="6"/>
      <c r="K20" s="6"/>
      <c r="L20" s="6">
        <v>1015</v>
      </c>
    </row>
    <row r="21" spans="1:12" ht="15.75" thickBot="1" x14ac:dyDescent="0.3">
      <c r="A21" s="2" t="s">
        <v>70</v>
      </c>
      <c r="B21" s="2" t="s">
        <v>19</v>
      </c>
      <c r="C21" s="2">
        <v>125</v>
      </c>
      <c r="G21" s="5" t="s">
        <v>70</v>
      </c>
      <c r="H21" s="6"/>
      <c r="I21" s="6"/>
      <c r="J21" s="6">
        <v>520</v>
      </c>
      <c r="K21" s="6">
        <v>540</v>
      </c>
      <c r="L21" s="6">
        <v>1060</v>
      </c>
    </row>
    <row r="22" spans="1:12" ht="15.75" thickBot="1" x14ac:dyDescent="0.3">
      <c r="A22" s="2" t="s">
        <v>71</v>
      </c>
      <c r="B22" s="2" t="s">
        <v>10</v>
      </c>
      <c r="C22" s="2">
        <v>85</v>
      </c>
      <c r="G22" s="5" t="s">
        <v>76</v>
      </c>
      <c r="H22" s="6">
        <v>1370</v>
      </c>
      <c r="I22" s="6">
        <v>1565</v>
      </c>
      <c r="J22" s="6">
        <v>1395</v>
      </c>
      <c r="K22" s="6">
        <v>1390</v>
      </c>
      <c r="L22" s="6">
        <v>5720</v>
      </c>
    </row>
    <row r="23" spans="1:12" ht="15.75" thickBot="1" x14ac:dyDescent="0.3">
      <c r="A23" s="2" t="s">
        <v>72</v>
      </c>
      <c r="B23" s="2" t="s">
        <v>13</v>
      </c>
      <c r="C23" s="2">
        <v>110</v>
      </c>
    </row>
    <row r="24" spans="1:12" ht="29.25" thickBot="1" x14ac:dyDescent="0.3">
      <c r="A24" s="2" t="s">
        <v>73</v>
      </c>
      <c r="B24" s="2" t="s">
        <v>16</v>
      </c>
      <c r="C24" s="2">
        <v>135</v>
      </c>
    </row>
    <row r="25" spans="1:12" ht="29.25" thickBot="1" x14ac:dyDescent="0.3">
      <c r="A25" s="2" t="s">
        <v>69</v>
      </c>
      <c r="B25" s="2" t="s">
        <v>19</v>
      </c>
      <c r="C25" s="2">
        <v>35</v>
      </c>
    </row>
    <row r="26" spans="1:12" ht="57.75" thickBot="1" x14ac:dyDescent="0.3">
      <c r="A26" s="2" t="s">
        <v>74</v>
      </c>
      <c r="B26" s="2" t="s">
        <v>10</v>
      </c>
      <c r="C26" s="2">
        <v>70</v>
      </c>
    </row>
    <row r="27" spans="1:12" ht="43.5" thickBot="1" x14ac:dyDescent="0.3">
      <c r="A27" s="2" t="s">
        <v>70</v>
      </c>
      <c r="B27" s="2" t="s">
        <v>13</v>
      </c>
      <c r="C27" s="2">
        <v>190</v>
      </c>
    </row>
    <row r="28" spans="1:12" ht="29.25" thickBot="1" x14ac:dyDescent="0.3">
      <c r="A28" s="2" t="s">
        <v>71</v>
      </c>
      <c r="B28" s="2" t="s">
        <v>16</v>
      </c>
      <c r="C28" s="2">
        <v>100</v>
      </c>
    </row>
    <row r="29" spans="1:12" ht="43.5" thickBot="1" x14ac:dyDescent="0.3">
      <c r="A29" s="2" t="s">
        <v>72</v>
      </c>
      <c r="B29" s="2" t="s">
        <v>19</v>
      </c>
      <c r="C29" s="2">
        <v>160</v>
      </c>
    </row>
    <row r="30" spans="1:12" ht="43.5" thickBot="1" x14ac:dyDescent="0.3">
      <c r="A30" s="2" t="s">
        <v>73</v>
      </c>
      <c r="B30" s="2" t="s">
        <v>10</v>
      </c>
      <c r="C30" s="2">
        <v>105</v>
      </c>
    </row>
    <row r="31" spans="1:12" ht="29.25" thickBot="1" x14ac:dyDescent="0.3">
      <c r="A31" s="2" t="s">
        <v>69</v>
      </c>
      <c r="B31" s="2" t="s">
        <v>13</v>
      </c>
      <c r="C31" s="2">
        <v>115</v>
      </c>
    </row>
    <row r="32" spans="1:12" ht="57.75" thickBot="1" x14ac:dyDescent="0.3">
      <c r="A32" s="2" t="s">
        <v>74</v>
      </c>
      <c r="B32" s="2" t="s">
        <v>16</v>
      </c>
      <c r="C32" s="2">
        <v>55</v>
      </c>
    </row>
    <row r="33" spans="1:3" ht="43.5" thickBot="1" x14ac:dyDescent="0.3">
      <c r="A33" s="2" t="s">
        <v>70</v>
      </c>
      <c r="B33" s="2" t="s">
        <v>19</v>
      </c>
      <c r="C33" s="2">
        <v>125</v>
      </c>
    </row>
    <row r="34" spans="1:3" ht="29.25" thickBot="1" x14ac:dyDescent="0.3">
      <c r="A34" s="2" t="s">
        <v>71</v>
      </c>
      <c r="B34" s="2" t="s">
        <v>10</v>
      </c>
      <c r="C34" s="2">
        <v>140</v>
      </c>
    </row>
    <row r="35" spans="1:3" ht="43.5" thickBot="1" x14ac:dyDescent="0.3">
      <c r="A35" s="2" t="s">
        <v>72</v>
      </c>
      <c r="B35" s="2" t="s">
        <v>13</v>
      </c>
      <c r="C35" s="2">
        <v>175</v>
      </c>
    </row>
    <row r="36" spans="1:3" ht="43.5" thickBot="1" x14ac:dyDescent="0.3">
      <c r="A36" s="2" t="s">
        <v>73</v>
      </c>
      <c r="B36" s="2" t="s">
        <v>16</v>
      </c>
      <c r="C36" s="2">
        <v>75</v>
      </c>
    </row>
    <row r="37" spans="1:3" ht="29.25" thickBot="1" x14ac:dyDescent="0.3">
      <c r="A37" s="2" t="s">
        <v>69</v>
      </c>
      <c r="B37" s="2" t="s">
        <v>19</v>
      </c>
      <c r="C37" s="2">
        <v>145</v>
      </c>
    </row>
    <row r="38" spans="1:3" ht="57.75" thickBot="1" x14ac:dyDescent="0.3">
      <c r="A38" s="2" t="s">
        <v>74</v>
      </c>
      <c r="B38" s="2" t="s">
        <v>10</v>
      </c>
      <c r="C38" s="2">
        <v>50</v>
      </c>
    </row>
    <row r="39" spans="1:3" ht="43.5" thickBot="1" x14ac:dyDescent="0.3">
      <c r="A39" s="2" t="s">
        <v>70</v>
      </c>
      <c r="B39" s="2" t="s">
        <v>13</v>
      </c>
      <c r="C39" s="2">
        <v>125</v>
      </c>
    </row>
    <row r="40" spans="1:3" ht="29.25" thickBot="1" x14ac:dyDescent="0.3">
      <c r="A40" s="2" t="s">
        <v>71</v>
      </c>
      <c r="B40" s="2" t="s">
        <v>16</v>
      </c>
      <c r="C40" s="2">
        <v>180</v>
      </c>
    </row>
    <row r="41" spans="1:3" ht="43.5" thickBot="1" x14ac:dyDescent="0.3">
      <c r="A41" s="2" t="s">
        <v>72</v>
      </c>
      <c r="B41" s="2" t="s">
        <v>19</v>
      </c>
      <c r="C41" s="2">
        <v>110</v>
      </c>
    </row>
    <row r="42" spans="1:3" ht="43.5" thickBot="1" x14ac:dyDescent="0.3">
      <c r="A42" s="2" t="s">
        <v>73</v>
      </c>
      <c r="B42" s="2" t="s">
        <v>10</v>
      </c>
      <c r="C42" s="2">
        <v>90</v>
      </c>
    </row>
    <row r="43" spans="1:3" ht="29.25" thickBot="1" x14ac:dyDescent="0.3">
      <c r="A43" s="2" t="s">
        <v>69</v>
      </c>
      <c r="B43" s="2" t="s">
        <v>13</v>
      </c>
      <c r="C43" s="2">
        <v>85</v>
      </c>
    </row>
    <row r="44" spans="1:3" ht="57.75" thickBot="1" x14ac:dyDescent="0.3">
      <c r="A44" s="2" t="s">
        <v>74</v>
      </c>
      <c r="B44" s="2" t="s">
        <v>16</v>
      </c>
      <c r="C44" s="2">
        <v>45</v>
      </c>
    </row>
    <row r="45" spans="1:3" ht="43.5" thickBot="1" x14ac:dyDescent="0.3">
      <c r="A45" s="2" t="s">
        <v>70</v>
      </c>
      <c r="B45" s="2" t="s">
        <v>19</v>
      </c>
      <c r="C45" s="2">
        <v>210</v>
      </c>
    </row>
    <row r="46" spans="1:3" ht="29.25" thickBot="1" x14ac:dyDescent="0.3">
      <c r="A46" s="2" t="s">
        <v>71</v>
      </c>
      <c r="B46" s="2" t="s">
        <v>10</v>
      </c>
      <c r="C46" s="2">
        <v>130</v>
      </c>
    </row>
    <row r="47" spans="1:3" ht="43.5" thickBot="1" x14ac:dyDescent="0.3">
      <c r="A47" s="2" t="s">
        <v>72</v>
      </c>
      <c r="B47" s="2" t="s">
        <v>13</v>
      </c>
      <c r="C47" s="2">
        <v>95</v>
      </c>
    </row>
    <row r="48" spans="1:3" ht="43.5" thickBot="1" x14ac:dyDescent="0.3">
      <c r="A48" s="2" t="s">
        <v>73</v>
      </c>
      <c r="B48" s="2" t="s">
        <v>16</v>
      </c>
      <c r="C48" s="2">
        <v>100</v>
      </c>
    </row>
    <row r="49" spans="1:3" ht="29.25" thickBot="1" x14ac:dyDescent="0.3">
      <c r="A49" s="2" t="s">
        <v>69</v>
      </c>
      <c r="B49" s="2" t="s">
        <v>19</v>
      </c>
      <c r="C49" s="2">
        <v>105</v>
      </c>
    </row>
    <row r="50" spans="1:3" ht="57.75" thickBot="1" x14ac:dyDescent="0.3">
      <c r="A50" s="2" t="s">
        <v>74</v>
      </c>
      <c r="B50" s="2" t="s">
        <v>10</v>
      </c>
      <c r="C50" s="2">
        <v>115</v>
      </c>
    </row>
    <row r="51" spans="1:3" ht="43.5" thickBot="1" x14ac:dyDescent="0.3">
      <c r="A51" s="2" t="s">
        <v>70</v>
      </c>
      <c r="B51" s="2" t="s">
        <v>13</v>
      </c>
      <c r="C51" s="2">
        <v>60</v>
      </c>
    </row>
    <row r="52" spans="1:3" ht="29.25" thickBot="1" x14ac:dyDescent="0.3">
      <c r="A52" s="2" t="s">
        <v>71</v>
      </c>
      <c r="B52" s="2" t="s">
        <v>16</v>
      </c>
      <c r="C52" s="2">
        <v>135</v>
      </c>
    </row>
    <row r="53" spans="1:3" ht="43.5" thickBot="1" x14ac:dyDescent="0.3">
      <c r="A53" s="2" t="s">
        <v>72</v>
      </c>
      <c r="B53" s="2" t="s">
        <v>19</v>
      </c>
      <c r="C53" s="2">
        <v>120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student</dc:creator>
  <cp:lastModifiedBy>student</cp:lastModifiedBy>
  <dcterms:created xsi:type="dcterms:W3CDTF">2026-08-03T06:44:26Z</dcterms:created>
  <dcterms:modified xsi:type="dcterms:W3CDTF">2026-08-03T08:03:38Z</dcterms:modified>
</cp:coreProperties>
</file>