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3rdSem_New\OAT\"/>
    </mc:Choice>
  </mc:AlternateContent>
  <xr:revisionPtr revIDLastSave="0" documentId="13_ncr:1_{D9529572-1BBA-4FEB-84CA-C0541DAE872D}" xr6:coauthVersionLast="47" xr6:coauthVersionMax="47" xr10:uidLastSave="{00000000-0000-0000-0000-000000000000}"/>
  <bookViews>
    <workbookView xWindow="-120" yWindow="-120" windowWidth="29040" windowHeight="15720" xr2:uid="{F2A65CA6-EB64-45EA-9E76-30C3DFC161C5}"/>
  </bookViews>
  <sheets>
    <sheet name="Sheet1" sheetId="1" r:id="rId1"/>
  </sheets>
  <definedNames>
    <definedName name="_xlnm._FilterDatabase" localSheetId="0" hidden="1">Sheet1!$A$1:$M$16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  <c r="K2" i="1"/>
  <c r="L2" i="1" s="1"/>
  <c r="K6" i="1"/>
  <c r="L6" i="1" s="1"/>
  <c r="K11" i="1"/>
  <c r="L11" i="1" s="1"/>
  <c r="K9" i="1"/>
  <c r="L9" i="1" s="1"/>
  <c r="K13" i="1"/>
  <c r="L13" i="1" s="1"/>
  <c r="K4" i="1"/>
  <c r="L4" i="1" s="1"/>
  <c r="K8" i="1"/>
  <c r="L8" i="1" s="1"/>
  <c r="K10" i="1"/>
  <c r="L10" i="1" s="1"/>
  <c r="K14" i="1"/>
  <c r="L14" i="1" s="1"/>
  <c r="K7" i="1"/>
  <c r="L7" i="1" s="1"/>
  <c r="K3" i="1"/>
  <c r="L3" i="1" s="1"/>
  <c r="K16" i="1"/>
  <c r="L16" i="1" s="1"/>
  <c r="K5" i="1"/>
  <c r="L5" i="1" s="1"/>
  <c r="K15" i="1"/>
  <c r="L15" i="1" s="1"/>
  <c r="K12" i="1"/>
  <c r="L12" i="1" s="1"/>
  <c r="J6" i="1"/>
  <c r="J11" i="1"/>
  <c r="J9" i="1"/>
  <c r="J13" i="1"/>
  <c r="J4" i="1"/>
  <c r="J8" i="1"/>
  <c r="J10" i="1"/>
  <c r="J14" i="1"/>
  <c r="J2" i="1"/>
  <c r="J7" i="1"/>
  <c r="J3" i="1"/>
  <c r="J16" i="1"/>
  <c r="J5" i="1"/>
  <c r="J15" i="1"/>
  <c r="J12" i="1"/>
</calcChain>
</file>

<file path=xl/sharedStrings.xml><?xml version="1.0" encoding="utf-8"?>
<sst xmlns="http://schemas.openxmlformats.org/spreadsheetml/2006/main" count="59" uniqueCount="47">
  <si>
    <t>Student ErNo.</t>
  </si>
  <si>
    <t>Student Age</t>
  </si>
  <si>
    <t>Subject 1</t>
  </si>
  <si>
    <t>Subject 2</t>
  </si>
  <si>
    <t>Subject 3</t>
  </si>
  <si>
    <t>Subject 4</t>
  </si>
  <si>
    <t>Subject 5</t>
  </si>
  <si>
    <t>Total</t>
  </si>
  <si>
    <t>Percentage</t>
  </si>
  <si>
    <t>Grade</t>
  </si>
  <si>
    <t>Aarav</t>
  </si>
  <si>
    <t>Sharma</t>
  </si>
  <si>
    <t>Diya</t>
  </si>
  <si>
    <t>Patel</t>
  </si>
  <si>
    <t>Rohan</t>
  </si>
  <si>
    <t>Gupta</t>
  </si>
  <si>
    <t>Ananya</t>
  </si>
  <si>
    <t>Singh</t>
  </si>
  <si>
    <t>Kabir</t>
  </si>
  <si>
    <t>Verma</t>
  </si>
  <si>
    <t>Sneha</t>
  </si>
  <si>
    <t>Iyer</t>
  </si>
  <si>
    <t>Arjun</t>
  </si>
  <si>
    <t>Nair</t>
  </si>
  <si>
    <t>Pooja</t>
  </si>
  <si>
    <t>Joshi</t>
  </si>
  <si>
    <t>Vikram</t>
  </si>
  <si>
    <t>Rao</t>
  </si>
  <si>
    <t>Neha</t>
  </si>
  <si>
    <t>Kapoor</t>
  </si>
  <si>
    <t>Aditya</t>
  </si>
  <si>
    <t>Menon</t>
  </si>
  <si>
    <t>Riya</t>
  </si>
  <si>
    <t>Sen</t>
  </si>
  <si>
    <t>Manish</t>
  </si>
  <si>
    <t>Kumar</t>
  </si>
  <si>
    <t>Tanvi</t>
  </si>
  <si>
    <t>Deshmukh</t>
  </si>
  <si>
    <t>Siddharth</t>
  </si>
  <si>
    <t>Das</t>
  </si>
  <si>
    <t>Last Name</t>
  </si>
  <si>
    <t>First Name</t>
  </si>
  <si>
    <t>CGPA</t>
  </si>
  <si>
    <t>Department</t>
  </si>
  <si>
    <t>CE</t>
  </si>
  <si>
    <t>IT</t>
  </si>
  <si>
    <t>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</si>
</sst>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3" fillId="0" borderId="2" xfId="0" applyFont="1" applyBorder="1" applyAlignment="1">
      <alignment horizontal="left" vertical="center" wrapText="1" indent="1"/>
    </xf>
    <xf numFmtId="9" fontId="0" fillId="0" borderId="0" xfId="1" applyFont="1"/>
    <xf numFmtId="0" fontId="3" fillId="0" borderId="2" xfId="0" applyFont="1" applyFill="1" applyBorder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5">
    <dxf>
      <fill>
        <patternFill patternType="solid">
          <fgColor rgb="FFC6EFCE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2499465926084170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0B51-A19A-41F3-82D9-E5CE97773E07}">
  <dimension ref="A1:N16"/>
  <sheetViews>
    <sheetView tabSelected="1" workbookViewId="0">
      <selection activeCell="O9" sqref="O9"/>
    </sheetView>
  </sheetViews>
  <sheetFormatPr defaultRowHeight="15" x14ac:dyDescent="0.25"/>
  <cols>
    <col min="1" max="1" width="17.42578125" customWidth="1"/>
    <col min="2" max="3" width="18.28515625" customWidth="1"/>
    <col min="4" max="4" width="10.85546875" customWidth="1"/>
    <col min="5" max="5" width="12" customWidth="1"/>
    <col min="6" max="6" width="12.7109375" customWidth="1"/>
    <col min="7" max="7" width="11.7109375" customWidth="1"/>
    <col min="8" max="8" width="12.28515625" customWidth="1"/>
    <col min="9" max="9" width="11.42578125" customWidth="1"/>
    <col min="11" max="11" width="14" customWidth="1"/>
    <col min="14" max="14" width="16.140625" customWidth="1"/>
  </cols>
  <sheetData>
    <row r="1" spans="1:14" ht="30.75" thickBot="1" x14ac:dyDescent="0.3">
      <c r="A1" s="1" t="s">
        <v>0</v>
      </c>
      <c r="B1" s="1" t="s">
        <v>41</v>
      </c>
      <c r="C1" s="1" t="s">
        <v>40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3" t="s">
        <v>7</v>
      </c>
      <c r="K1" s="3" t="s">
        <v>8</v>
      </c>
      <c r="L1" s="3" t="s">
        <v>9</v>
      </c>
      <c r="M1" s="5" t="s">
        <v>42</v>
      </c>
      <c r="N1" s="5" t="s">
        <v>43</v>
      </c>
    </row>
    <row r="2" spans="1:14" ht="15.75" thickBot="1" x14ac:dyDescent="0.3">
      <c r="A2" s="2">
        <v>110</v>
      </c>
      <c r="B2" s="2" t="s">
        <v>28</v>
      </c>
      <c r="C2" s="2" t="s">
        <v>29</v>
      </c>
      <c r="D2" s="2">
        <v>20</v>
      </c>
      <c r="E2" s="2">
        <v>90</v>
      </c>
      <c r="F2" s="2">
        <v>92</v>
      </c>
      <c r="G2" s="2">
        <v>89</v>
      </c>
      <c r="H2" s="2">
        <v>94</v>
      </c>
      <c r="I2" s="2">
        <v>91</v>
      </c>
      <c r="J2">
        <f>SUM(E2:I2)</f>
        <v>456</v>
      </c>
      <c r="K2" s="4">
        <f>AVERAGE(E2:I2)/100</f>
        <v>0.91200000000000003</v>
      </c>
      <c r="L2" t="str">
        <f>IF(K2&gt;90%,"A",IF(K2&gt;80%,"B",IF(K2&gt;70%,"C","D")))</f>
        <v>A</v>
      </c>
      <c r="M2">
        <f>AVERAGE(E2:I2)/10</f>
        <v>9.120000000000001</v>
      </c>
      <c r="N2" t="s">
        <v>45</v>
      </c>
    </row>
    <row r="3" spans="1:14" ht="15.75" thickBot="1" x14ac:dyDescent="0.3">
      <c r="A3" s="2">
        <v>112</v>
      </c>
      <c r="B3" s="2" t="s">
        <v>32</v>
      </c>
      <c r="C3" s="2" t="s">
        <v>33</v>
      </c>
      <c r="D3" s="2">
        <v>20</v>
      </c>
      <c r="E3" s="2">
        <v>86</v>
      </c>
      <c r="F3" s="2">
        <v>88</v>
      </c>
      <c r="G3" s="2">
        <v>90</v>
      </c>
      <c r="H3" s="2">
        <v>87</v>
      </c>
      <c r="I3" s="2">
        <v>89</v>
      </c>
      <c r="J3">
        <f>SUM(E3:I3)</f>
        <v>440</v>
      </c>
      <c r="K3" s="4">
        <f>AVERAGE(E3:I3)/100</f>
        <v>0.88</v>
      </c>
      <c r="L3" t="str">
        <f>IF(K3&gt;90%,"A",IF(K3&gt;80%,"B",IF(K3&gt;70%,"C","D")))</f>
        <v>B</v>
      </c>
      <c r="M3">
        <f t="shared" ref="M3:M16" si="0">AVERAGE(E3:I3)/10</f>
        <v>8.8000000000000007</v>
      </c>
      <c r="N3" t="s">
        <v>44</v>
      </c>
    </row>
    <row r="4" spans="1:14" ht="15.75" thickBot="1" x14ac:dyDescent="0.3">
      <c r="A4" s="2">
        <v>106</v>
      </c>
      <c r="B4" s="2" t="s">
        <v>20</v>
      </c>
      <c r="C4" s="2" t="s">
        <v>21</v>
      </c>
      <c r="D4" s="2">
        <v>19</v>
      </c>
      <c r="E4" s="2">
        <v>47</v>
      </c>
      <c r="F4" s="2">
        <v>94</v>
      </c>
      <c r="G4" s="2">
        <v>98</v>
      </c>
      <c r="H4" s="2">
        <v>96</v>
      </c>
      <c r="I4" s="2">
        <v>97</v>
      </c>
      <c r="J4">
        <f>SUM(E4:I4)</f>
        <v>432</v>
      </c>
      <c r="K4" s="4">
        <f>AVERAGE(E4:I4)/100</f>
        <v>0.8640000000000001</v>
      </c>
      <c r="L4" t="str">
        <f>IF(K4&gt;90%,"A",IF(K4&gt;80%,"B",IF(K4&gt;70%,"C","D")))</f>
        <v>B</v>
      </c>
      <c r="M4">
        <f t="shared" si="0"/>
        <v>8.64</v>
      </c>
      <c r="N4" t="s">
        <v>46</v>
      </c>
    </row>
    <row r="5" spans="1:14" ht="15.75" thickBot="1" x14ac:dyDescent="0.3">
      <c r="A5" s="2">
        <v>114</v>
      </c>
      <c r="B5" s="2" t="s">
        <v>36</v>
      </c>
      <c r="C5" s="2" t="s">
        <v>37</v>
      </c>
      <c r="D5" s="2">
        <v>19</v>
      </c>
      <c r="E5" s="2">
        <v>49</v>
      </c>
      <c r="F5" s="2">
        <v>91</v>
      </c>
      <c r="G5" s="2">
        <v>96</v>
      </c>
      <c r="H5" s="2">
        <v>93</v>
      </c>
      <c r="I5" s="2">
        <v>95</v>
      </c>
      <c r="J5">
        <f>SUM(E5:I5)</f>
        <v>424</v>
      </c>
      <c r="K5" s="4">
        <f>AVERAGE(E5:I5)/100</f>
        <v>0.84799999999999998</v>
      </c>
      <c r="L5" t="str">
        <f>IF(K5&gt;90%,"A",IF(K5&gt;80%,"B",IF(K5&gt;70%,"C","D")))</f>
        <v>B</v>
      </c>
      <c r="M5">
        <f t="shared" si="0"/>
        <v>8.48</v>
      </c>
      <c r="N5" t="s">
        <v>45</v>
      </c>
    </row>
    <row r="6" spans="1:14" ht="15.75" thickBot="1" x14ac:dyDescent="0.3">
      <c r="A6" s="2">
        <v>102</v>
      </c>
      <c r="B6" s="2" t="s">
        <v>12</v>
      </c>
      <c r="C6" s="2" t="s">
        <v>13</v>
      </c>
      <c r="D6" s="2">
        <v>20</v>
      </c>
      <c r="E6" s="2">
        <v>92</v>
      </c>
      <c r="F6" s="2">
        <v>88</v>
      </c>
      <c r="G6" s="2">
        <v>95</v>
      </c>
      <c r="H6" s="2">
        <v>91</v>
      </c>
      <c r="I6" s="2">
        <v>45</v>
      </c>
      <c r="J6">
        <f>SUM(E6:I6)</f>
        <v>411</v>
      </c>
      <c r="K6" s="4">
        <f>AVERAGE(E6:I6)/100</f>
        <v>0.82200000000000006</v>
      </c>
      <c r="L6" t="str">
        <f>IF(K6&gt;90%,"A",IF(K6&gt;80%,"B",IF(K6&gt;70%,"C","D")))</f>
        <v>B</v>
      </c>
      <c r="M6">
        <f t="shared" si="0"/>
        <v>8.2200000000000006</v>
      </c>
      <c r="N6" t="s">
        <v>44</v>
      </c>
    </row>
    <row r="7" spans="1:14" ht="15.75" thickBot="1" x14ac:dyDescent="0.3">
      <c r="A7" s="2">
        <v>111</v>
      </c>
      <c r="B7" s="2" t="s">
        <v>30</v>
      </c>
      <c r="C7" s="2" t="s">
        <v>31</v>
      </c>
      <c r="D7" s="2">
        <v>19</v>
      </c>
      <c r="E7" s="2">
        <v>81</v>
      </c>
      <c r="F7" s="2">
        <v>75</v>
      </c>
      <c r="G7" s="2">
        <v>85</v>
      </c>
      <c r="H7" s="2">
        <v>83</v>
      </c>
      <c r="I7" s="2">
        <v>80</v>
      </c>
      <c r="J7">
        <f>SUM(E7:I7)</f>
        <v>404</v>
      </c>
      <c r="K7" s="4">
        <f>AVERAGE(E7:I7)/100</f>
        <v>0.80799999999999994</v>
      </c>
      <c r="L7" t="str">
        <f>IF(K7&gt;90%,"A",IF(K7&gt;80%,"B",IF(K7&gt;70%,"C","D")))</f>
        <v>B</v>
      </c>
      <c r="M7">
        <f t="shared" si="0"/>
        <v>8.08</v>
      </c>
      <c r="N7" t="s">
        <v>44</v>
      </c>
    </row>
    <row r="8" spans="1:14" ht="15.75" thickBot="1" x14ac:dyDescent="0.3">
      <c r="A8" s="2">
        <v>107</v>
      </c>
      <c r="B8" s="2" t="s">
        <v>22</v>
      </c>
      <c r="C8" s="2" t="s">
        <v>23</v>
      </c>
      <c r="D8" s="2">
        <v>20</v>
      </c>
      <c r="E8" s="2">
        <v>78</v>
      </c>
      <c r="F8" s="2">
        <v>75</v>
      </c>
      <c r="G8" s="2">
        <v>80</v>
      </c>
      <c r="H8" s="2">
        <v>87</v>
      </c>
      <c r="I8" s="2">
        <v>76</v>
      </c>
      <c r="J8">
        <f>SUM(E8:I8)</f>
        <v>396</v>
      </c>
      <c r="K8" s="4">
        <f>AVERAGE(E8:I8)/100</f>
        <v>0.79200000000000004</v>
      </c>
      <c r="L8" t="str">
        <f>IF(K8&gt;90%,"A",IF(K8&gt;80%,"B",IF(K8&gt;70%,"C","D")))</f>
        <v>C</v>
      </c>
      <c r="M8">
        <f t="shared" si="0"/>
        <v>7.92</v>
      </c>
      <c r="N8" t="s">
        <v>45</v>
      </c>
    </row>
    <row r="9" spans="1:14" ht="15.75" thickBot="1" x14ac:dyDescent="0.3">
      <c r="A9" s="2">
        <v>104</v>
      </c>
      <c r="B9" s="2" t="s">
        <v>16</v>
      </c>
      <c r="C9" s="2" t="s">
        <v>17</v>
      </c>
      <c r="D9" s="2">
        <v>20</v>
      </c>
      <c r="E9" s="2">
        <v>88</v>
      </c>
      <c r="F9" s="2">
        <v>44</v>
      </c>
      <c r="G9" s="2">
        <v>85</v>
      </c>
      <c r="H9" s="2">
        <v>92</v>
      </c>
      <c r="I9" s="2">
        <v>86</v>
      </c>
      <c r="J9">
        <f>SUM(E9:I9)</f>
        <v>395</v>
      </c>
      <c r="K9" s="4">
        <f>AVERAGE(E9:I9)/100</f>
        <v>0.79</v>
      </c>
      <c r="L9" t="str">
        <f>IF(K9&gt;90%,"A",IF(K9&gt;80%,"B",IF(K9&gt;70%,"C","D")))</f>
        <v>C</v>
      </c>
      <c r="M9">
        <f t="shared" si="0"/>
        <v>7.9</v>
      </c>
      <c r="N9" t="s">
        <v>44</v>
      </c>
    </row>
    <row r="10" spans="1:14" ht="15.75" thickBot="1" x14ac:dyDescent="0.3">
      <c r="A10" s="2">
        <v>108</v>
      </c>
      <c r="B10" s="2" t="s">
        <v>24</v>
      </c>
      <c r="C10" s="2" t="s">
        <v>25</v>
      </c>
      <c r="D10" s="2">
        <v>19</v>
      </c>
      <c r="E10" s="2">
        <v>82</v>
      </c>
      <c r="F10" s="2">
        <v>85</v>
      </c>
      <c r="G10" s="2">
        <v>88</v>
      </c>
      <c r="H10" s="2">
        <v>48</v>
      </c>
      <c r="I10" s="2">
        <v>90</v>
      </c>
      <c r="J10">
        <f>SUM(E10:I10)</f>
        <v>393</v>
      </c>
      <c r="K10" s="4">
        <f>AVERAGE(E10:I10)/100</f>
        <v>0.78599999999999992</v>
      </c>
      <c r="L10" t="str">
        <f>IF(K10&gt;90%,"A",IF(K10&gt;80%,"B",IF(K10&gt;70%,"C","D")))</f>
        <v>C</v>
      </c>
      <c r="M10">
        <f t="shared" si="0"/>
        <v>7.8599999999999994</v>
      </c>
      <c r="N10" t="s">
        <v>46</v>
      </c>
    </row>
    <row r="11" spans="1:14" ht="15.75" thickBot="1" x14ac:dyDescent="0.3">
      <c r="A11" s="2">
        <v>103</v>
      </c>
      <c r="B11" s="2" t="s">
        <v>14</v>
      </c>
      <c r="C11" s="2" t="s">
        <v>15</v>
      </c>
      <c r="D11" s="2">
        <v>19</v>
      </c>
      <c r="E11" s="2">
        <v>74</v>
      </c>
      <c r="F11" s="2">
        <v>82</v>
      </c>
      <c r="G11" s="2">
        <v>68</v>
      </c>
      <c r="H11" s="2">
        <v>77</v>
      </c>
      <c r="I11" s="2">
        <v>79</v>
      </c>
      <c r="J11">
        <f>SUM(E11:I11)</f>
        <v>380</v>
      </c>
      <c r="K11" s="4">
        <f>AVERAGE(E11:I11)/100</f>
        <v>0.76</v>
      </c>
      <c r="L11" t="str">
        <f>IF(K11&gt;90%,"A",IF(K11&gt;80%,"B",IF(K11&gt;70%,"C","D")))</f>
        <v>C</v>
      </c>
      <c r="M11">
        <f t="shared" si="0"/>
        <v>7.6</v>
      </c>
      <c r="N11" t="s">
        <v>46</v>
      </c>
    </row>
    <row r="12" spans="1:14" ht="15.75" thickBot="1" x14ac:dyDescent="0.3">
      <c r="A12" s="2">
        <v>101</v>
      </c>
      <c r="B12" s="2" t="s">
        <v>10</v>
      </c>
      <c r="C12" s="2" t="s">
        <v>11</v>
      </c>
      <c r="D12" s="2">
        <v>19</v>
      </c>
      <c r="E12" s="2">
        <v>85</v>
      </c>
      <c r="F12" s="2">
        <v>39</v>
      </c>
      <c r="G12" s="2">
        <v>90</v>
      </c>
      <c r="H12" s="2">
        <v>88</v>
      </c>
      <c r="I12" s="2">
        <v>76</v>
      </c>
      <c r="J12">
        <f>SUM(E12:I12)</f>
        <v>378</v>
      </c>
      <c r="K12" s="4">
        <f>AVERAGE(E12:I12)/100</f>
        <v>0.75599999999999989</v>
      </c>
      <c r="L12" t="str">
        <f>IF(K12&gt;90%,"A",IF(K12&gt;80%,"B",IF(K12&gt;70%,"C","D")))</f>
        <v>C</v>
      </c>
      <c r="M12">
        <f t="shared" si="0"/>
        <v>7.56</v>
      </c>
      <c r="N12" t="s">
        <v>44</v>
      </c>
    </row>
    <row r="13" spans="1:14" ht="15.75" thickBot="1" x14ac:dyDescent="0.3">
      <c r="A13" s="2">
        <v>105</v>
      </c>
      <c r="B13" s="2" t="s">
        <v>18</v>
      </c>
      <c r="C13" s="2" t="s">
        <v>19</v>
      </c>
      <c r="D13" s="2">
        <v>21</v>
      </c>
      <c r="E13" s="2">
        <v>65</v>
      </c>
      <c r="F13" s="2">
        <v>70</v>
      </c>
      <c r="G13" s="2">
        <v>72</v>
      </c>
      <c r="H13" s="2">
        <v>88</v>
      </c>
      <c r="I13" s="2">
        <v>74</v>
      </c>
      <c r="J13">
        <f>SUM(E13:I13)</f>
        <v>369</v>
      </c>
      <c r="K13" s="4">
        <f>AVERAGE(E13:I13)/100</f>
        <v>0.73799999999999999</v>
      </c>
      <c r="L13" t="str">
        <f>IF(K13&gt;90%,"A",IF(K13&gt;80%,"B",IF(K13&gt;70%,"C","D")))</f>
        <v>C</v>
      </c>
      <c r="M13">
        <f t="shared" si="0"/>
        <v>7.38</v>
      </c>
      <c r="N13" t="s">
        <v>46</v>
      </c>
    </row>
    <row r="14" spans="1:14" ht="15.75" thickBot="1" x14ac:dyDescent="0.3">
      <c r="A14" s="2">
        <v>109</v>
      </c>
      <c r="B14" s="2" t="s">
        <v>26</v>
      </c>
      <c r="C14" s="2" t="s">
        <v>27</v>
      </c>
      <c r="D14" s="2">
        <v>21</v>
      </c>
      <c r="E14" s="2">
        <v>70</v>
      </c>
      <c r="F14" s="2">
        <v>76</v>
      </c>
      <c r="G14" s="2">
        <v>75</v>
      </c>
      <c r="H14" s="2">
        <v>72</v>
      </c>
      <c r="I14" s="2">
        <v>71</v>
      </c>
      <c r="J14">
        <f>SUM(E14:I14)</f>
        <v>364</v>
      </c>
      <c r="K14" s="4">
        <f>AVERAGE(E14:I14)/100</f>
        <v>0.72799999999999998</v>
      </c>
      <c r="L14" t="str">
        <f>IF(K14&gt;90%,"A",IF(K14&gt;80%,"B",IF(K14&gt;70%,"C","D")))</f>
        <v>C</v>
      </c>
      <c r="M14">
        <f t="shared" si="0"/>
        <v>7.2799999999999994</v>
      </c>
      <c r="N14" t="s">
        <v>44</v>
      </c>
    </row>
    <row r="15" spans="1:14" ht="15.75" thickBot="1" x14ac:dyDescent="0.3">
      <c r="A15" s="2">
        <v>115</v>
      </c>
      <c r="B15" s="2" t="s">
        <v>38</v>
      </c>
      <c r="C15" s="2" t="s">
        <v>39</v>
      </c>
      <c r="D15" s="2">
        <v>20</v>
      </c>
      <c r="E15" s="2">
        <v>79</v>
      </c>
      <c r="F15" s="2">
        <v>83</v>
      </c>
      <c r="G15" s="2">
        <v>77</v>
      </c>
      <c r="H15" s="2">
        <v>38</v>
      </c>
      <c r="I15" s="2">
        <v>82</v>
      </c>
      <c r="J15">
        <f>SUM(E15:I15)</f>
        <v>359</v>
      </c>
      <c r="K15" s="4">
        <f>AVERAGE(E15:I15)/100</f>
        <v>0.71799999999999997</v>
      </c>
      <c r="L15" t="str">
        <f>IF(K15&gt;90%,"A",IF(K15&gt;80%,"B",IF(K15&gt;70%,"C","D")))</f>
        <v>C</v>
      </c>
      <c r="M15">
        <f t="shared" si="0"/>
        <v>7.18</v>
      </c>
      <c r="N15" t="s">
        <v>44</v>
      </c>
    </row>
    <row r="16" spans="1:14" ht="15.75" thickBot="1" x14ac:dyDescent="0.3">
      <c r="A16" s="2">
        <v>113</v>
      </c>
      <c r="B16" s="2" t="s">
        <v>34</v>
      </c>
      <c r="C16" s="2" t="s">
        <v>35</v>
      </c>
      <c r="D16" s="2">
        <v>21</v>
      </c>
      <c r="E16" s="2">
        <v>72</v>
      </c>
      <c r="F16" s="2">
        <v>76</v>
      </c>
      <c r="G16" s="2">
        <v>70</v>
      </c>
      <c r="H16" s="2">
        <v>47</v>
      </c>
      <c r="I16" s="2">
        <v>75</v>
      </c>
      <c r="J16">
        <f>SUM(E16:I16)</f>
        <v>340</v>
      </c>
      <c r="K16" s="4">
        <f>AVERAGE(E16:I16)/100</f>
        <v>0.68</v>
      </c>
      <c r="L16" t="str">
        <f>IF(K16&gt;90%,"A",IF(K16&gt;80%,"B",IF(K16&gt;70%,"C","D")))</f>
        <v>D</v>
      </c>
      <c r="M16">
        <f t="shared" si="0"/>
        <v>6.8</v>
      </c>
      <c r="N16" t="s">
        <v>45</v>
      </c>
    </row>
  </sheetData>
  <sortState xmlns:xlrd2="http://schemas.microsoft.com/office/spreadsheetml/2017/richdata2" ref="A2:M16">
    <sortCondition descending="1" ref="K2:K16"/>
    <sortCondition ref="E2:E16"/>
    <sortCondition ref="A2:A16"/>
  </sortState>
  <conditionalFormatting sqref="E2:I16">
    <cfRule type="cellIs" dxfId="4" priority="1" operator="lessThan">
      <formula>50</formula>
    </cfRule>
    <cfRule type="cellIs" dxfId="3" priority="2" operator="between">
      <formula>50</formula>
      <formula>75</formula>
    </cfRule>
    <cfRule type="cellIs" dxfId="2" priority="3" operator="between">
      <formula>50</formula>
      <formula>75</formula>
    </cfRule>
    <cfRule type="cellIs" dxfId="1" priority="4" operator="greaterThan">
      <formula>75</formula>
    </cfRule>
  </conditionalFormatting>
  <dataValidations count="2">
    <dataValidation type="decimal" allowBlank="1" showInputMessage="1" showErrorMessage="1" sqref="M2:M16" xr:uid="{1C6EE26A-612C-4F36-A8CE-1D04A773694A}">
      <formula1>0</formula1>
      <formula2>10</formula2>
    </dataValidation>
    <dataValidation type="list" allowBlank="1" showInputMessage="1" showErrorMessage="1" sqref="N2:N16" xr:uid="{E8D1508D-722C-45BE-ACC7-CBF6D35AD313}">
      <formula1>"CE,IT,ICT"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2026-08-10T06:43:22Z</dcterms:created>
  <dcterms:modified xsi:type="dcterms:W3CDTF">2026-08-10T07:59:10Z</dcterms:modified>
</cp:coreProperties>
</file>