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E:\Btech\3rdSem\OAT\"/>
    </mc:Choice>
  </mc:AlternateContent>
  <xr:revisionPtr revIDLastSave="0" documentId="13_ncr:1_{4E4E3645-56C7-49F8-B064-AD96F94D2C77}" xr6:coauthVersionLast="47" xr6:coauthVersionMax="47" xr10:uidLastSave="{00000000-0000-0000-0000-000000000000}"/>
  <bookViews>
    <workbookView xWindow="-120" yWindow="-120" windowWidth="29040" windowHeight="15720" activeTab="6" xr2:uid="{5F6A0881-58CC-46B1-84CD-E362E04865B4}"/>
  </bookViews>
  <sheets>
    <sheet name="Pivot,slicer,chart" sheetId="1" r:id="rId1"/>
    <sheet name="Pivot,slicer,chart2" sheetId="3" r:id="rId2"/>
    <sheet name="Pivot,slicer,chart3" sheetId="4" r:id="rId3"/>
    <sheet name="XLOOKUP,INDEX,MATCH" sheetId="6" r:id="rId4"/>
    <sheet name="Attendence System" sheetId="5" r:id="rId5"/>
    <sheet name="Cascade Drop-Down" sheetId="7" r:id="rId6"/>
    <sheet name="Calender" sheetId="8" r:id="rId7"/>
  </sheets>
  <definedNames>
    <definedName name="CA">'Cascade Drop-Down'!$A$2:$A$8</definedName>
    <definedName name="CB">'Cascade Drop-Down'!$B$2:$B$8</definedName>
    <definedName name="Slicer_Category">#N/A</definedName>
    <definedName name="Slicer_Region">#N/A</definedName>
    <definedName name="Slicer_Region1">#N/A</definedName>
    <definedName name="Slicer_Total_Revenue">#N/A</definedName>
    <definedName name="Slicer_Total_Revenue1">#N/A</definedName>
    <definedName name="Slicer_Units_Sold">#N/A</definedName>
  </definedNames>
  <calcPr calcId="18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 i="8" l="1"/>
  <c r="B5" i="8" s="1"/>
  <c r="C5" i="8" s="1"/>
  <c r="D5" i="8" s="1"/>
  <c r="E5" i="8" s="1"/>
  <c r="F5" i="8" s="1"/>
  <c r="G5" i="8" s="1"/>
  <c r="A6" i="8" s="1"/>
  <c r="B6" i="8" s="1"/>
  <c r="C6" i="8" s="1"/>
  <c r="D6" i="8" s="1"/>
  <c r="E6" i="8" s="1"/>
  <c r="F6" i="8" s="1"/>
  <c r="G6" i="8" s="1"/>
  <c r="A7" i="8" s="1"/>
  <c r="B7" i="8" s="1"/>
  <c r="C7" i="8" s="1"/>
  <c r="D7" i="8" s="1"/>
  <c r="E7" i="8" s="1"/>
  <c r="F7" i="8" s="1"/>
  <c r="G7" i="8" s="1"/>
  <c r="A8" i="8" s="1"/>
  <c r="B8" i="8" s="1"/>
  <c r="C8" i="8" s="1"/>
  <c r="D8" i="8" s="1"/>
  <c r="E8" i="8" s="1"/>
  <c r="F8" i="8" s="1"/>
  <c r="G8" i="8" s="1"/>
  <c r="A9" i="8" s="1"/>
  <c r="B9" i="8" s="1"/>
  <c r="C9" i="8" s="1"/>
  <c r="D9" i="8" s="1"/>
  <c r="E9" i="8" s="1"/>
  <c r="F9" i="8" s="1"/>
  <c r="G9" i="8" s="1"/>
  <c r="A10" i="8" s="1"/>
  <c r="B10" i="8" s="1"/>
  <c r="C10" i="8" s="1"/>
  <c r="D10" i="8" s="1"/>
  <c r="E10" i="8" s="1"/>
  <c r="F10" i="8" s="1"/>
  <c r="G10" i="8" s="1"/>
  <c r="O2" i="6"/>
  <c r="K2" i="6"/>
  <c r="I2" i="6"/>
  <c r="G3" i="6"/>
  <c r="G4" i="6"/>
  <c r="G5" i="6"/>
  <c r="G6" i="6"/>
  <c r="G2" i="6"/>
  <c r="M2" i="6" s="1"/>
</calcChain>
</file>

<file path=xl/sharedStrings.xml><?xml version="1.0" encoding="utf-8"?>
<sst xmlns="http://schemas.openxmlformats.org/spreadsheetml/2006/main" count="656" uniqueCount="145">
  <si>
    <t>Product ID</t>
  </si>
  <si>
    <t>Product Name</t>
  </si>
  <si>
    <t>Category</t>
  </si>
  <si>
    <t>Region</t>
  </si>
  <si>
    <t>Unit Price ($)</t>
  </si>
  <si>
    <t>Units Sold</t>
  </si>
  <si>
    <t>Total Revenue ($)</t>
  </si>
  <si>
    <t>Cost Price ($)</t>
  </si>
  <si>
    <t>PRD-101</t>
  </si>
  <si>
    <t>CloudSync Pro</t>
  </si>
  <si>
    <t>Software</t>
  </si>
  <si>
    <t>North America</t>
  </si>
  <si>
    <t>$120.00</t>
  </si>
  <si>
    <t>$54,000.00</t>
  </si>
  <si>
    <t>$30.00</t>
  </si>
  <si>
    <t>PRD-102</t>
  </si>
  <si>
    <t>Apex Ergonomic Chair</t>
  </si>
  <si>
    <t>Furniture</t>
  </si>
  <si>
    <t>Europe</t>
  </si>
  <si>
    <t>$250.00</t>
  </si>
  <si>
    <t>$30,000.00</t>
  </si>
  <si>
    <t>$150.00</t>
  </si>
  <si>
    <t>PRD-103</t>
  </si>
  <si>
    <t>Nexus Smart Hub</t>
  </si>
  <si>
    <t>Electronics</t>
  </si>
  <si>
    <t>Asia-Pacific</t>
  </si>
  <si>
    <t>$85.00</t>
  </si>
  <si>
    <t>$53,550.00</t>
  </si>
  <si>
    <t>$40.00</t>
  </si>
  <si>
    <t>PRD-104</t>
  </si>
  <si>
    <t>DataGuard Security</t>
  </si>
  <si>
    <t>Latin America</t>
  </si>
  <si>
    <t>$200.00</t>
  </si>
  <si>
    <t>$42,000.00</t>
  </si>
  <si>
    <t>$50.00</t>
  </si>
  <si>
    <t>PRD-105</t>
  </si>
  <si>
    <t>Titan Water Bottle</t>
  </si>
  <si>
    <t>Lifestyle</t>
  </si>
  <si>
    <t>$25.00</t>
  </si>
  <si>
    <t>$37,500.00</t>
  </si>
  <si>
    <t>$8.00</t>
  </si>
  <si>
    <t>PRD-106</t>
  </si>
  <si>
    <t>UltraView 4K Monitor</t>
  </si>
  <si>
    <t>$350.00</t>
  </si>
  <si>
    <t>$63,000.00</t>
  </si>
  <si>
    <t>$220.00</t>
  </si>
  <si>
    <t>PRD-107</t>
  </si>
  <si>
    <t>TaskMaster CRM</t>
  </si>
  <si>
    <t>$75.00</t>
  </si>
  <si>
    <t>$66,750.00</t>
  </si>
  <si>
    <t>$15.00</t>
  </si>
  <si>
    <t>PRD-108</t>
  </si>
  <si>
    <t>AeroRun Sneakers</t>
  </si>
  <si>
    <t>$90.00</t>
  </si>
  <si>
    <t>$48,600.00</t>
  </si>
  <si>
    <t>$35.00</t>
  </si>
  <si>
    <t>PRD-109</t>
  </si>
  <si>
    <t>SteelDesk Executive</t>
  </si>
  <si>
    <t>Middle East</t>
  </si>
  <si>
    <t>$450.00</t>
  </si>
  <si>
    <t>$29,250.00</t>
  </si>
  <si>
    <t>$280.00</t>
  </si>
  <si>
    <t>PRD-110</t>
  </si>
  <si>
    <t>SonicWave Earbuds</t>
  </si>
  <si>
    <t>$60.00</t>
  </si>
  <si>
    <t>$55,200.00</t>
  </si>
  <si>
    <t>$22.00</t>
  </si>
  <si>
    <t>PRD-111</t>
  </si>
  <si>
    <t>FreshBrew Coffee Maker</t>
  </si>
  <si>
    <t>Appliances</t>
  </si>
  <si>
    <t>$110.00</t>
  </si>
  <si>
    <t>$37,400.00</t>
  </si>
  <si>
    <t>$55.00</t>
  </si>
  <si>
    <t>PRD-112</t>
  </si>
  <si>
    <t>SwiftInvoice SaaS</t>
  </si>
  <si>
    <t>$45.00</t>
  </si>
  <si>
    <t>$5.00</t>
  </si>
  <si>
    <t>PRD-113</t>
  </si>
  <si>
    <t>GlowLED Desk Lamp</t>
  </si>
  <si>
    <t>$31,200.00</t>
  </si>
  <si>
    <t>$14.00</t>
  </si>
  <si>
    <t>PRD-114</t>
  </si>
  <si>
    <t>Horizon Backpack</t>
  </si>
  <si>
    <t>$65.00</t>
  </si>
  <si>
    <t>$26,650.00</t>
  </si>
  <si>
    <t>$20.00</t>
  </si>
  <si>
    <t>PRD-115</t>
  </si>
  <si>
    <t>PowerCore Portable Charger</t>
  </si>
  <si>
    <t>$55,000.00</t>
  </si>
  <si>
    <t>$18.00</t>
  </si>
  <si>
    <t>Row Labels</t>
  </si>
  <si>
    <t>Grand Total</t>
  </si>
  <si>
    <t>Sum of Units Sold</t>
  </si>
  <si>
    <t>Count of Total Revenue ($)</t>
  </si>
  <si>
    <t>Student ID</t>
  </si>
  <si>
    <t>Student Name</t>
  </si>
  <si>
    <t>Mathematics</t>
  </si>
  <si>
    <t>Science</t>
  </si>
  <si>
    <t>English</t>
  </si>
  <si>
    <t>History</t>
  </si>
  <si>
    <t>S001</t>
  </si>
  <si>
    <t>Alice Smith</t>
  </si>
  <si>
    <t>S002</t>
  </si>
  <si>
    <t>Bob Jones</t>
  </si>
  <si>
    <t>S003</t>
  </si>
  <si>
    <t>Charlie Brown</t>
  </si>
  <si>
    <t>S004</t>
  </si>
  <si>
    <t>Diana Prince</t>
  </si>
  <si>
    <t>S005</t>
  </si>
  <si>
    <t>Evan Wright</t>
  </si>
  <si>
    <t>Total</t>
  </si>
  <si>
    <t>XLOOKUP</t>
  </si>
  <si>
    <t>Match</t>
  </si>
  <si>
    <t>Index</t>
  </si>
  <si>
    <t>Index + Match</t>
  </si>
  <si>
    <t>Alex</t>
  </si>
  <si>
    <t>Daniel</t>
  </si>
  <si>
    <t>Emma</t>
  </si>
  <si>
    <t>Ethan</t>
  </si>
  <si>
    <t>James</t>
  </si>
  <si>
    <t>Jordan</t>
  </si>
  <si>
    <t>Madison</t>
  </si>
  <si>
    <t>Maya</t>
  </si>
  <si>
    <t>Mia</t>
  </si>
  <si>
    <t>Noah</t>
  </si>
  <si>
    <t>Olivia</t>
  </si>
  <si>
    <t>Sarah</t>
  </si>
  <si>
    <t>Sophia</t>
  </si>
  <si>
    <t>Taylor</t>
  </si>
  <si>
    <t>Arjun</t>
  </si>
  <si>
    <t>A</t>
  </si>
  <si>
    <t>P</t>
  </si>
  <si>
    <t>CA</t>
  </si>
  <si>
    <t>CB</t>
  </si>
  <si>
    <t>Select Class</t>
  </si>
  <si>
    <t>Student</t>
  </si>
  <si>
    <t>MONTH</t>
  </si>
  <si>
    <t>YEAR</t>
  </si>
  <si>
    <t>SUN</t>
  </si>
  <si>
    <t>MON</t>
  </si>
  <si>
    <t>TUE</t>
  </si>
  <si>
    <t>WED</t>
  </si>
  <si>
    <t>THU</t>
  </si>
  <si>
    <t>FRI</t>
  </si>
  <si>
    <t>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</si>
</sst>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Arial"/>
      <family val="2"/>
    </font>
    <font>
      <b/>
      <sz val="11"/>
      <color theme="1"/>
      <name val="Arial"/>
      <family val="2"/>
    </font>
    <font>
      <b/>
      <sz val="12"/>
      <color theme="1"/>
      <name val="Calibri"/>
      <family val="2"/>
      <scheme val="minor"/>
    </font>
  </fonts>
  <fills count="2">
    <fill>
      <patternFill patternType="none"/>
    </fill>
    <fill>
      <patternFill patternType="gray125"/>
    </fill>
  </fills>
  <borders count="3">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s>
  <cellStyleXfs count="1">
    <xf numFmtId="0" fontId="0" fillId="0" borderId="0"/>
  </cellStyleXfs>
  <cellXfs count="11">
    <xf numFmtId="0" fontId="0" fillId="0" borderId="0" xfId="0"/>
    <xf numFmtId="0" fontId="3" fillId="0" borderId="1" xfId="0" applyFont="1" applyBorder="1" applyAlignment="1">
      <alignment horizontal="left" vertical="center" wrapText="1" indent="1"/>
    </xf>
    <xf numFmtId="0" fontId="2" fillId="0" borderId="1" xfId="0" applyFont="1" applyBorder="1" applyAlignment="1">
      <alignment horizontal="left" vertical="center" wrapText="1" indent="1"/>
    </xf>
    <xf numFmtId="3" fontId="2" fillId="0" borderId="1" xfId="0" applyNumberFormat="1" applyFont="1" applyBorder="1" applyAlignment="1">
      <alignment horizontal="left" vertical="center" wrapText="1" indent="1"/>
    </xf>
    <xf numFmtId="0" fontId="0" fillId="0" borderId="0" xfId="0" pivotButton="1"/>
    <xf numFmtId="0" fontId="0" fillId="0" borderId="0" xfId="0" applyAlignment="1">
      <alignment horizontal="left"/>
    </xf>
    <xf numFmtId="0" fontId="3" fillId="0" borderId="2" xfId="0" applyFont="1" applyBorder="1" applyAlignment="1">
      <alignment horizontal="left" vertical="center" wrapText="1" indent="1"/>
    </xf>
    <xf numFmtId="0" fontId="3" fillId="0" borderId="0" xfId="0" applyFont="1" applyAlignment="1">
      <alignment horizontal="left" vertical="center" wrapText="1" indent="1"/>
    </xf>
    <xf numFmtId="0" fontId="1" fillId="0" borderId="0" xfId="0" applyFont="1"/>
    <xf numFmtId="14" fontId="0" fillId="0" borderId="0" xfId="0" applyNumberFormat="1"/>
    <xf numFmtId="0" fontId="4" fillId="0" borderId="0" xfId="0" applyFont="1"/>
  </cellXfs>
  <cellStyles count="1">
    <cellStyle name="Normal" xfId="0" builtinId="0"/>
  </cellStyles>
  <dxfs count="7">
    <dxf>
      <font>
        <b/>
        <i val="0"/>
      </font>
    </dxf>
    <dxf>
      <fill>
        <patternFill>
          <bgColor theme="8" tint="0.79998168889431442"/>
        </patternFill>
      </fill>
      <border>
        <left style="dashDotDot">
          <color auto="1"/>
        </left>
        <right style="dashDotDot">
          <color auto="1"/>
        </right>
        <top style="dashDotDot">
          <color auto="1"/>
        </top>
        <bottom style="dashDotDot">
          <color auto="1"/>
        </bottom>
        <vertical/>
        <horizontal/>
      </border>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[Lab11.xlsx]Pivot,slicer,chart!PivotTable1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3648293963254"/>
          <c:y val="0.26226414406532517"/>
          <c:w val="0.76112270341207344"/>
          <c:h val="0.53774387576552929"/>
        </c:manualLayout>
      </c:layout>
      <c:barChart>
        <c:barDir val="col"/>
        <c:grouping val="clustered"/>
        <c:varyColors val="0"/>
        <c:ser>
          <c:idx val="0"/>
          <c:order val="0"/>
          <c:tx>
            <c:strRef>
              <c:f>'Pivot,slicer,chart'!$M$3</c:f>
              <c:strCache>
                <c:ptCount val="1"/>
                <c:pt idx="0">
                  <c:v>Total</c:v>
                </c:pt>
              </c:strCache>
            </c:strRef>
          </c:tx>
          <c:spPr>
            <a:solidFill>
              <a:schemeClr val="accent1"/>
            </a:solidFill>
            <a:ln>
              <a:noFill/>
            </a:ln>
            <a:effectLst/>
          </c:spPr>
          <c:invertIfNegative val="0"/>
          <c:cat>
            <c:strRef>
              <c:f>'Pivot,slicer,chart'!$L$4:$L$9</c:f>
              <c:strCache>
                <c:ptCount val="5"/>
                <c:pt idx="0">
                  <c:v>Asia-Pacific</c:v>
                </c:pt>
                <c:pt idx="1">
                  <c:v>Europe</c:v>
                </c:pt>
                <c:pt idx="2">
                  <c:v>Latin America</c:v>
                </c:pt>
                <c:pt idx="3">
                  <c:v>Middle East</c:v>
                </c:pt>
                <c:pt idx="4">
                  <c:v>North America</c:v>
                </c:pt>
              </c:strCache>
            </c:strRef>
          </c:cat>
          <c:val>
            <c:numRef>
              <c:f>'Pivot,slicer,chart'!$M$4:$M$9</c:f>
              <c:numCache>
                <c:formatCode>General</c:formatCode>
                <c:ptCount val="5"/>
                <c:pt idx="0">
                  <c:v>2300</c:v>
                </c:pt>
                <c:pt idx="1">
                  <c:v>640</c:v>
                </c:pt>
                <c:pt idx="2">
                  <c:v>1540</c:v>
                </c:pt>
                <c:pt idx="3">
                  <c:v>65</c:v>
                </c:pt>
                <c:pt idx="4">
                  <c:v>4790</c:v>
                </c:pt>
              </c:numCache>
            </c:numRef>
          </c:val>
          <c:extLst>
            <c:ext xmlns:c16="http://schemas.microsoft.com/office/drawing/2014/chart" uri="{C3380CC4-5D6E-409C-BE32-E72D297353CC}">
              <c16:uniqueId val="{00000000-C127-4E31-9CBA-BB319CA79C1B}"/>
            </c:ext>
          </c:extLst>
        </c:ser>
        <c:dLbls>
          <c:showLegendKey val="0"/>
          <c:showVal val="0"/>
          <c:showCatName val="0"/>
          <c:showSerName val="0"/>
          <c:showPercent val="0"/>
          <c:showBubbleSize val="0"/>
        </c:dLbls>
        <c:gapWidth val="219"/>
        <c:overlap val="-27"/>
        <c:axId val="496190048"/>
        <c:axId val="496188608"/>
      </c:barChart>
      <c:catAx>
        <c:axId val="49619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188608"/>
        <c:crosses val="autoZero"/>
        <c:auto val="1"/>
        <c:lblAlgn val="ctr"/>
        <c:lblOffset val="100"/>
        <c:noMultiLvlLbl val="0"/>
      </c:catAx>
      <c:valAx>
        <c:axId val="49618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19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[Lab11.xlsx]Pivot,slicer,chart2!PivotTable2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'Pivot,slicer,chart2'!$K$2</c:f>
              <c:strCache>
                <c:ptCount val="1"/>
                <c:pt idx="0">
                  <c:v>Total</c:v>
                </c:pt>
              </c:strCache>
            </c:strRef>
          </c:tx>
          <c:spPr>
            <a:solidFill>
              <a:schemeClr val="accent1"/>
            </a:solidFill>
            <a:ln>
              <a:noFill/>
            </a:ln>
            <a:effectLst/>
          </c:spPr>
          <c:invertIfNegative val="0"/>
          <c:cat>
            <c:strRef>
              <c:f>'Pivot,slicer,chart2'!$J$3:$J$8</c:f>
              <c:strCache>
                <c:ptCount val="5"/>
                <c:pt idx="0">
                  <c:v>Appliances</c:v>
                </c:pt>
                <c:pt idx="1">
                  <c:v>Electronics</c:v>
                </c:pt>
                <c:pt idx="2">
                  <c:v>Furniture</c:v>
                </c:pt>
                <c:pt idx="3">
                  <c:v>Lifestyle</c:v>
                </c:pt>
                <c:pt idx="4">
                  <c:v>Software</c:v>
                </c:pt>
              </c:strCache>
            </c:strRef>
          </c:cat>
          <c:val>
            <c:numRef>
              <c:f>'Pivot,slicer,chart2'!$K$3:$K$8</c:f>
              <c:numCache>
                <c:formatCode>General</c:formatCode>
                <c:ptCount val="5"/>
                <c:pt idx="0">
                  <c:v>1</c:v>
                </c:pt>
                <c:pt idx="1">
                  <c:v>4</c:v>
                </c:pt>
                <c:pt idx="2">
                  <c:v>3</c:v>
                </c:pt>
                <c:pt idx="3">
                  <c:v>3</c:v>
                </c:pt>
                <c:pt idx="4">
                  <c:v>4</c:v>
                </c:pt>
              </c:numCache>
            </c:numRef>
          </c:val>
          <c:extLst>
            <c:ext xmlns:c16="http://schemas.microsoft.com/office/drawing/2014/chart" uri="{C3380CC4-5D6E-409C-BE32-E72D297353CC}">
              <c16:uniqueId val="{00000000-A967-42E3-9C82-944C5AC0A1A9}"/>
            </c:ext>
          </c:extLst>
        </c:ser>
        <c:dLbls>
          <c:showLegendKey val="0"/>
          <c:showVal val="0"/>
          <c:showCatName val="0"/>
          <c:showSerName val="0"/>
          <c:showPercent val="0"/>
          <c:showBubbleSize val="0"/>
        </c:dLbls>
        <c:gapWidth val="219"/>
        <c:overlap val="-27"/>
        <c:axId val="242928976"/>
        <c:axId val="242933296"/>
      </c:barChart>
      <c:catAx>
        <c:axId val="24292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933296"/>
        <c:crosses val="autoZero"/>
        <c:auto val="1"/>
        <c:lblAlgn val="ctr"/>
        <c:lblOffset val="100"/>
        <c:noMultiLvlLbl val="0"/>
      </c:catAx>
      <c:valAx>
        <c:axId val="24293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92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[Lab11.xlsx]Pivot,slicer,chart3!PivotTable3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'Pivot,slicer,chart3'!$K$2</c:f>
              <c:strCache>
                <c:ptCount val="1"/>
                <c:pt idx="0">
                  <c:v>Total</c:v>
                </c:pt>
              </c:strCache>
            </c:strRef>
          </c:tx>
          <c:spPr>
            <a:solidFill>
              <a:schemeClr val="accent1"/>
            </a:solidFill>
            <a:ln>
              <a:noFill/>
            </a:ln>
            <a:effectLst/>
          </c:spPr>
          <c:invertIfNegative val="0"/>
          <c:cat>
            <c:strRef>
              <c:f>'Pivot,slicer,chart3'!$J$3:$J$8</c:f>
              <c:strCache>
                <c:ptCount val="5"/>
                <c:pt idx="0">
                  <c:v>Asia-Pacific</c:v>
                </c:pt>
                <c:pt idx="1">
                  <c:v>Europe</c:v>
                </c:pt>
                <c:pt idx="2">
                  <c:v>Latin America</c:v>
                </c:pt>
                <c:pt idx="3">
                  <c:v>Middle East</c:v>
                </c:pt>
                <c:pt idx="4">
                  <c:v>North America</c:v>
                </c:pt>
              </c:strCache>
            </c:strRef>
          </c:cat>
          <c:val>
            <c:numRef>
              <c:f>'Pivot,slicer,chart3'!$K$3:$K$8</c:f>
              <c:numCache>
                <c:formatCode>General</c:formatCode>
                <c:ptCount val="5"/>
                <c:pt idx="0">
                  <c:v>3</c:v>
                </c:pt>
                <c:pt idx="1">
                  <c:v>3</c:v>
                </c:pt>
                <c:pt idx="2">
                  <c:v>3</c:v>
                </c:pt>
                <c:pt idx="3">
                  <c:v>1</c:v>
                </c:pt>
                <c:pt idx="4">
                  <c:v>5</c:v>
                </c:pt>
              </c:numCache>
            </c:numRef>
          </c:val>
          <c:extLst>
            <c:ext xmlns:c16="http://schemas.microsoft.com/office/drawing/2014/chart" uri="{C3380CC4-5D6E-409C-BE32-E72D297353CC}">
              <c16:uniqueId val="{00000000-3F0D-4210-B262-9D7A34AEC41E}"/>
            </c:ext>
          </c:extLst>
        </c:ser>
        <c:dLbls>
          <c:showLegendKey val="0"/>
          <c:showVal val="0"/>
          <c:showCatName val="0"/>
          <c:showSerName val="0"/>
          <c:showPercent val="0"/>
          <c:showBubbleSize val="0"/>
        </c:dLbls>
        <c:gapWidth val="219"/>
        <c:overlap val="-27"/>
        <c:axId val="634784720"/>
        <c:axId val="640361920"/>
      </c:barChart>
      <c:catAx>
        <c:axId val="63478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361920"/>
        <c:crosses val="autoZero"/>
        <c:auto val="1"/>
        <c:lblAlgn val="ctr"/>
        <c:lblOffset val="100"/>
        <c:noMultiLvlLbl val="0"/>
      </c:catAx>
      <c:valAx>
        <c:axId val="64036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78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190500</xdr:colOff>
      <xdr:row>10</xdr:row>
      <xdr:rowOff>42862</xdr:rowOff>
    </xdr:from>
    <xdr:to>
      <xdr:col>16</xdr:col>
      <xdr:colOff>381000</xdr:colOff>
      <xdr:row>17</xdr:row>
      <xdr:rowOff>185737</xdr:rowOff>
    </xdr:to>
    <xdr:graphicFrame macro="">
      <xdr:nvGraphicFramePr>
        <xdr:cNvPr id="2" name="Chart 1">
          <a:extLst>
            <a:ext uri="{FF2B5EF4-FFF2-40B4-BE49-F238E27FC236}">
              <a16:creationId xmlns:a16="http://schemas.microsoft.com/office/drawing/2014/main" id="{975A0900-79CD-D022-675E-74ED16487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419100</xdr:colOff>
      <xdr:row>2</xdr:row>
      <xdr:rowOff>28575</xdr:rowOff>
    </xdr:from>
    <xdr:to>
      <xdr:col>15</xdr:col>
      <xdr:colOff>523875</xdr:colOff>
      <xdr:row>8</xdr:row>
      <xdr:rowOff>142875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F7B046B-2D26-A892-B0DD-07C27B6EF3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087350" y="809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552450</xdr:colOff>
      <xdr:row>2</xdr:row>
      <xdr:rowOff>66675</xdr:rowOff>
    </xdr:from>
    <xdr:to>
      <xdr:col>19</xdr:col>
      <xdr:colOff>552450</xdr:colOff>
      <xdr:row>8</xdr:row>
      <xdr:rowOff>180975</xdr:rowOff>
    </xdr:to>
    <mc:AlternateContent xmlns:mc="http://schemas.openxmlformats.org/markup-compatibility/2006" xmlns:a14="http://schemas.microsoft.com/office/drawing/2010/main">
      <mc:Choice Requires="a14">
        <xdr:graphicFrame macro="">
          <xdr:nvGraphicFramePr>
            <xdr:cNvPr id="6" name="Units Sold">
              <a:extLst>
                <a:ext uri="{FF2B5EF4-FFF2-40B4-BE49-F238E27FC236}">
                  <a16:creationId xmlns:a16="http://schemas.microsoft.com/office/drawing/2014/main" id="{6048772D-811F-B89E-4030-DB07C913C2D7}"/>
                </a:ext>
              </a:extLst>
            </xdr:cNvPr>
            <xdr:cNvGraphicFramePr/>
          </xdr:nvGraphicFramePr>
          <xdr:xfrm>
            <a:off x="0" y="0"/>
            <a:ext cx="0" cy="0"/>
          </xdr:xfrm>
          <a:graphic>
            <a:graphicData uri="http://schemas.microsoft.com/office/drawing/2010/slicer">
              <sle:slicer xmlns:sle="http://schemas.microsoft.com/office/drawing/2010/slicer" name="Units Sold"/>
            </a:graphicData>
          </a:graphic>
        </xdr:graphicFrame>
      </mc:Choice>
      <mc:Fallback xmlns="">
        <xdr:sp macro="" textlink="">
          <xdr:nvSpPr>
            <xdr:cNvPr id="0" name=""/>
            <xdr:cNvSpPr>
              <a:spLocks noTextEdit="1"/>
            </xdr:cNvSpPr>
          </xdr:nvSpPr>
          <xdr:spPr>
            <a:xfrm>
              <a:off x="15554325" y="847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285750</xdr:colOff>
      <xdr:row>1</xdr:row>
      <xdr:rowOff>247650</xdr:rowOff>
    </xdr:from>
    <xdr:to>
      <xdr:col>15</xdr:col>
      <xdr:colOff>285750</xdr:colOff>
      <xdr:row>7</xdr:row>
      <xdr:rowOff>361950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B714234F-F5A5-4E42-7247-10DFA9D02D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34825" y="638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323850</xdr:colOff>
      <xdr:row>1</xdr:row>
      <xdr:rowOff>200025</xdr:rowOff>
    </xdr:from>
    <xdr:to>
      <xdr:col>20</xdr:col>
      <xdr:colOff>323850</xdr:colOff>
      <xdr:row>7</xdr:row>
      <xdr:rowOff>314325</xdr:rowOff>
    </xdr:to>
    <mc:AlternateContent xmlns:mc="http://schemas.openxmlformats.org/markup-compatibility/2006" xmlns:a14="http://schemas.microsoft.com/office/drawing/2010/main">
      <mc:Choice Requires="a14">
        <xdr:graphicFrame macro="">
          <xdr:nvGraphicFramePr>
            <xdr:cNvPr id="3" name="Total Revenue ($)">
              <a:extLst>
                <a:ext uri="{FF2B5EF4-FFF2-40B4-BE49-F238E27FC236}">
                  <a16:creationId xmlns:a16="http://schemas.microsoft.com/office/drawing/2014/main" id="{13371451-4324-A9A5-BF47-257BBD9FE828}"/>
                </a:ext>
              </a:extLst>
            </xdr:cNvPr>
            <xdr:cNvGraphicFramePr/>
          </xdr:nvGraphicFramePr>
          <xdr:xfrm>
            <a:off x="0" y="0"/>
            <a:ext cx="0" cy="0"/>
          </xdr:xfrm>
          <a:graphic>
            <a:graphicData uri="http://schemas.microsoft.com/office/drawing/2010/slicer">
              <sle:slicer xmlns:sle="http://schemas.microsoft.com/office/drawing/2010/slicer" name="Total Revenue ($)"/>
            </a:graphicData>
          </a:graphic>
        </xdr:graphicFrame>
      </mc:Choice>
      <mc:Fallback xmlns="">
        <xdr:sp macro="" textlink="">
          <xdr:nvSpPr>
            <xdr:cNvPr id="0" name=""/>
            <xdr:cNvSpPr>
              <a:spLocks noTextEdit="1"/>
            </xdr:cNvSpPr>
          </xdr:nvSpPr>
          <xdr:spPr>
            <a:xfrm>
              <a:off x="15020925" y="59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609600</xdr:colOff>
      <xdr:row>9</xdr:row>
      <xdr:rowOff>61912</xdr:rowOff>
    </xdr:from>
    <xdr:to>
      <xdr:col>16</xdr:col>
      <xdr:colOff>466725</xdr:colOff>
      <xdr:row>16</xdr:row>
      <xdr:rowOff>23812</xdr:rowOff>
    </xdr:to>
    <xdr:graphicFrame macro="">
      <xdr:nvGraphicFramePr>
        <xdr:cNvPr id="4" name="Chart 3">
          <a:extLst>
            <a:ext uri="{FF2B5EF4-FFF2-40B4-BE49-F238E27FC236}">
              <a16:creationId xmlns:a16="http://schemas.microsoft.com/office/drawing/2014/main" id="{E386DC0E-5DDF-D737-57B6-559019581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133350</xdr:colOff>
      <xdr:row>0</xdr:row>
      <xdr:rowOff>371475</xdr:rowOff>
    </xdr:from>
    <xdr:to>
      <xdr:col>18</xdr:col>
      <xdr:colOff>133350</xdr:colOff>
      <xdr:row>13</xdr:row>
      <xdr:rowOff>104775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31C6E758-5B07-4ABF-7A32-EB5FA57A050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163800" y="371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276225</xdr:colOff>
      <xdr:row>1</xdr:row>
      <xdr:rowOff>0</xdr:rowOff>
    </xdr:from>
    <xdr:to>
      <xdr:col>14</xdr:col>
      <xdr:colOff>276225</xdr:colOff>
      <xdr:row>13</xdr:row>
      <xdr:rowOff>123825</xdr:rowOff>
    </xdr:to>
    <mc:AlternateContent xmlns:mc="http://schemas.openxmlformats.org/markup-compatibility/2006" xmlns:a14="http://schemas.microsoft.com/office/drawing/2010/main">
      <mc:Choice Requires="a14">
        <xdr:graphicFrame macro="">
          <xdr:nvGraphicFramePr>
            <xdr:cNvPr id="3" name="Total Revenue ($) 1">
              <a:extLst>
                <a:ext uri="{FF2B5EF4-FFF2-40B4-BE49-F238E27FC236}">
                  <a16:creationId xmlns:a16="http://schemas.microsoft.com/office/drawing/2014/main" id="{690CABE2-06C4-7762-503A-3E9A4D2F638B}"/>
                </a:ext>
              </a:extLst>
            </xdr:cNvPr>
            <xdr:cNvGraphicFramePr/>
          </xdr:nvGraphicFramePr>
          <xdr:xfrm>
            <a:off x="0" y="0"/>
            <a:ext cx="0" cy="0"/>
          </xdr:xfrm>
          <a:graphic>
            <a:graphicData uri="http://schemas.microsoft.com/office/drawing/2010/slicer">
              <sle:slicer xmlns:sle="http://schemas.microsoft.com/office/drawing/2010/slicer" name="Total Revenue ($) 1"/>
            </a:graphicData>
          </a:graphic>
        </xdr:graphicFrame>
      </mc:Choice>
      <mc:Fallback xmlns="">
        <xdr:sp macro="" textlink="">
          <xdr:nvSpPr>
            <xdr:cNvPr id="0" name=""/>
            <xdr:cNvSpPr>
              <a:spLocks noTextEdit="1"/>
            </xdr:cNvSpPr>
          </xdr:nvSpPr>
          <xdr:spPr>
            <a:xfrm>
              <a:off x="12868275" y="39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342900</xdr:colOff>
      <xdr:row>15</xdr:row>
      <xdr:rowOff>71437</xdr:rowOff>
    </xdr:from>
    <xdr:to>
      <xdr:col>14</xdr:col>
      <xdr:colOff>485775</xdr:colOff>
      <xdr:row>28</xdr:row>
      <xdr:rowOff>157162</xdr:rowOff>
    </xdr:to>
    <xdr:graphicFrame macro="">
      <xdr:nvGraphicFramePr>
        <xdr:cNvPr id="4" name="Chart 3">
          <a:extLst>
            <a:ext uri="{FF2B5EF4-FFF2-40B4-BE49-F238E27FC236}">
              <a16:creationId xmlns:a16="http://schemas.microsoft.com/office/drawing/2014/main" id="{3FC66B8D-3B22-60CB-78CD-28199BB44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251.52180451389" createdVersion="8" refreshedVersion="8" minRefreshableVersion="3" recordCount="15" xr:uid="{2B30E63C-4C47-44E5-8392-83436876EA8A}">
  <cacheSource type="worksheet">
    <worksheetSource ref="A1:H16" sheet="Pivot,slicer,chart"/>
  </cacheSource>
  <cacheFields count="8">
    <cacheField name="Product ID" numFmtId="0">
      <sharedItems/>
    </cacheField>
    <cacheField name="Product Name" numFmtId="0">
      <sharedItems/>
    </cacheField>
    <cacheField name="Category" numFmtId="0">
      <sharedItems count="5">
        <s v="Software"/>
        <s v="Furniture"/>
        <s v="Electronics"/>
        <s v="Lifestyle"/>
        <s v="Appliances"/>
      </sharedItems>
    </cacheField>
    <cacheField name="Region" numFmtId="0">
      <sharedItems count="5">
        <s v="North America"/>
        <s v="Europe"/>
        <s v="Asia-Pacific"/>
        <s v="Latin America"/>
        <s v="Middle East"/>
      </sharedItems>
    </cacheField>
    <cacheField name="Unit Price ($)" numFmtId="0">
      <sharedItems count="15">
        <s v="$120.00"/>
        <s v="$250.00"/>
        <s v="$85.00"/>
        <s v="$200.00"/>
        <s v="$25.00"/>
        <s v="$350.00"/>
        <s v="$75.00"/>
        <s v="$90.00"/>
        <s v="$450.00"/>
        <s v="$60.00"/>
        <s v="$110.00"/>
        <s v="$45.00"/>
        <s v="$40.00"/>
        <s v="$65.00"/>
        <s v="$50.00"/>
      </sharedItems>
    </cacheField>
    <cacheField name="Units Sold" numFmtId="0">
      <sharedItems containsSemiMixedTypes="0" containsString="0" containsNumber="1" containsInteger="1" minValue="65" maxValue="1500" count="15">
        <n v="450"/>
        <n v="120"/>
        <n v="630"/>
        <n v="210"/>
        <n v="1500"/>
        <n v="180"/>
        <n v="890"/>
        <n v="540"/>
        <n v="65"/>
        <n v="920"/>
        <n v="340"/>
        <n v="1200"/>
        <n v="780"/>
        <n v="410"/>
        <n v="1100"/>
      </sharedItems>
    </cacheField>
    <cacheField name="Total Revenue ($)" numFmtId="0">
      <sharedItems/>
    </cacheField>
    <cacheField name="Cost Price ($)" numFmtId="0">
      <sharedItems/>
    </cacheField>
  </cacheFields>
  <extLst>
    <ext xmlns:x14="http://schemas.microsoft.com/office/spreadsheetml/2009/9/main" uri="{725AE2AE-9491-48be-B2B4-4EB974FC3084}">
      <x14:pivotCacheDefinition pivotCacheId="11837400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251.526897685188" createdVersion="8" refreshedVersion="8" minRefreshableVersion="3" recordCount="15" xr:uid="{83F2A1AF-5285-49CD-B144-63CBB36FCFA7}">
  <cacheSource type="worksheet">
    <worksheetSource ref="A1:H16" sheet="Pivot,slicer,chart2"/>
  </cacheSource>
  <cacheFields count="8">
    <cacheField name="Product ID" numFmtId="0">
      <sharedItems/>
    </cacheField>
    <cacheField name="Product Name" numFmtId="0">
      <sharedItems/>
    </cacheField>
    <cacheField name="Category" numFmtId="0">
      <sharedItems count="5">
        <s v="Software"/>
        <s v="Furniture"/>
        <s v="Electronics"/>
        <s v="Lifestyle"/>
        <s v="Appliances"/>
      </sharedItems>
    </cacheField>
    <cacheField name="Region" numFmtId="0">
      <sharedItems/>
    </cacheField>
    <cacheField name="Unit Price ($)" numFmtId="0">
      <sharedItems/>
    </cacheField>
    <cacheField name="Units Sold" numFmtId="0">
      <sharedItems containsSemiMixedTypes="0" containsString="0" containsNumber="1" containsInteger="1" minValue="65" maxValue="1500"/>
    </cacheField>
    <cacheField name="Total Revenue ($)" numFmtId="0">
      <sharedItems count="14">
        <s v="$54,000.00"/>
        <s v="$30,000.00"/>
        <s v="$53,550.00"/>
        <s v="$42,000.00"/>
        <s v="$37,500.00"/>
        <s v="$63,000.00"/>
        <s v="$66,750.00"/>
        <s v="$48,600.00"/>
        <s v="$29,250.00"/>
        <s v="$55,200.00"/>
        <s v="$37,400.00"/>
        <s v="$31,200.00"/>
        <s v="$26,650.00"/>
        <s v="$55,000.00"/>
      </sharedItems>
    </cacheField>
    <cacheField name="Cost Price ($)" numFmtId="0">
      <sharedItems/>
    </cacheField>
  </cacheFields>
  <extLst>
    <ext xmlns:x14="http://schemas.microsoft.com/office/spreadsheetml/2009/9/main" uri="{725AE2AE-9491-48be-B2B4-4EB974FC3084}">
      <x14:pivotCacheDefinition pivotCacheId="188238923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251.527869791666" createdVersion="8" refreshedVersion="8" minRefreshableVersion="3" recordCount="15" xr:uid="{C763B2A0-9665-4331-9A8E-7BCAF58F813F}">
  <cacheSource type="worksheet">
    <worksheetSource ref="A1:H16" sheet="Pivot,slicer,chart3"/>
  </cacheSource>
  <cacheFields count="8">
    <cacheField name="Product ID" numFmtId="0">
      <sharedItems/>
    </cacheField>
    <cacheField name="Product Name" numFmtId="0">
      <sharedItems/>
    </cacheField>
    <cacheField name="Category" numFmtId="0">
      <sharedItems/>
    </cacheField>
    <cacheField name="Region" numFmtId="0">
      <sharedItems count="5">
        <s v="North America"/>
        <s v="Europe"/>
        <s v="Asia-Pacific"/>
        <s v="Latin America"/>
        <s v="Middle East"/>
      </sharedItems>
    </cacheField>
    <cacheField name="Unit Price ($)" numFmtId="0">
      <sharedItems/>
    </cacheField>
    <cacheField name="Units Sold" numFmtId="0">
      <sharedItems containsSemiMixedTypes="0" containsString="0" containsNumber="1" containsInteger="1" minValue="65" maxValue="1500"/>
    </cacheField>
    <cacheField name="Total Revenue ($)" numFmtId="0">
      <sharedItems count="14">
        <s v="$54,000.00"/>
        <s v="$30,000.00"/>
        <s v="$53,550.00"/>
        <s v="$42,000.00"/>
        <s v="$37,500.00"/>
        <s v="$63,000.00"/>
        <s v="$66,750.00"/>
        <s v="$48,600.00"/>
        <s v="$29,250.00"/>
        <s v="$55,200.00"/>
        <s v="$37,400.00"/>
        <s v="$31,200.00"/>
        <s v="$26,650.00"/>
        <s v="$55,000.00"/>
      </sharedItems>
    </cacheField>
    <cacheField name="Cost Price ($)" numFmtId="0">
      <sharedItems/>
    </cacheField>
  </cacheFields>
  <extLst>
    <ext xmlns:x14="http://schemas.microsoft.com/office/spreadsheetml/2009/9/main" uri="{725AE2AE-9491-48be-B2B4-4EB974FC3084}">
      <x14:pivotCacheDefinition pivotCacheId="14814669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PRD-101"/>
    <s v="CloudSync Pro"/>
    <x v="0"/>
    <x v="0"/>
    <x v="0"/>
    <x v="0"/>
    <s v="$54,000.00"/>
    <s v="$30.00"/>
  </r>
  <r>
    <s v="PRD-102"/>
    <s v="Apex Ergonomic Chair"/>
    <x v="1"/>
    <x v="1"/>
    <x v="1"/>
    <x v="1"/>
    <s v="$30,000.00"/>
    <s v="$150.00"/>
  </r>
  <r>
    <s v="PRD-103"/>
    <s v="Nexus Smart Hub"/>
    <x v="2"/>
    <x v="2"/>
    <x v="2"/>
    <x v="2"/>
    <s v="$53,550.00"/>
    <s v="$40.00"/>
  </r>
  <r>
    <s v="PRD-104"/>
    <s v="DataGuard Security"/>
    <x v="0"/>
    <x v="3"/>
    <x v="3"/>
    <x v="3"/>
    <s v="$42,000.00"/>
    <s v="$50.00"/>
  </r>
  <r>
    <s v="PRD-105"/>
    <s v="Titan Water Bottle"/>
    <x v="3"/>
    <x v="0"/>
    <x v="4"/>
    <x v="4"/>
    <s v="$37,500.00"/>
    <s v="$8.00"/>
  </r>
  <r>
    <s v="PRD-106"/>
    <s v="UltraView 4K Monitor"/>
    <x v="2"/>
    <x v="1"/>
    <x v="5"/>
    <x v="5"/>
    <s v="$63,000.00"/>
    <s v="$220.00"/>
  </r>
  <r>
    <s v="PRD-107"/>
    <s v="TaskMaster CRM"/>
    <x v="0"/>
    <x v="2"/>
    <x v="6"/>
    <x v="6"/>
    <s v="$66,750.00"/>
    <s v="$15.00"/>
  </r>
  <r>
    <s v="PRD-108"/>
    <s v="AeroRun Sneakers"/>
    <x v="3"/>
    <x v="0"/>
    <x v="7"/>
    <x v="7"/>
    <s v="$48,600.00"/>
    <s v="$35.00"/>
  </r>
  <r>
    <s v="PRD-109"/>
    <s v="SteelDesk Executive"/>
    <x v="1"/>
    <x v="4"/>
    <x v="8"/>
    <x v="8"/>
    <s v="$29,250.00"/>
    <s v="$280.00"/>
  </r>
  <r>
    <s v="PRD-110"/>
    <s v="SonicWave Earbuds"/>
    <x v="2"/>
    <x v="3"/>
    <x v="9"/>
    <x v="9"/>
    <s v="$55,200.00"/>
    <s v="$22.00"/>
  </r>
  <r>
    <s v="PRD-111"/>
    <s v="FreshBrew Coffee Maker"/>
    <x v="4"/>
    <x v="1"/>
    <x v="10"/>
    <x v="10"/>
    <s v="$37,400.00"/>
    <s v="$55.00"/>
  </r>
  <r>
    <s v="PRD-112"/>
    <s v="SwiftInvoice SaaS"/>
    <x v="0"/>
    <x v="0"/>
    <x v="11"/>
    <x v="11"/>
    <s v="$54,000.00"/>
    <s v="$5.00"/>
  </r>
  <r>
    <s v="PRD-113"/>
    <s v="GlowLED Desk Lamp"/>
    <x v="1"/>
    <x v="2"/>
    <x v="12"/>
    <x v="12"/>
    <s v="$31,200.00"/>
    <s v="$14.00"/>
  </r>
  <r>
    <s v="PRD-114"/>
    <s v="Horizon Backpack"/>
    <x v="3"/>
    <x v="3"/>
    <x v="13"/>
    <x v="13"/>
    <s v="$26,650.00"/>
    <s v="$20.00"/>
  </r>
  <r>
    <s v="PRD-115"/>
    <s v="PowerCore Portable Charger"/>
    <x v="2"/>
    <x v="0"/>
    <x v="14"/>
    <x v="14"/>
    <s v="$55,000.00"/>
    <s v="$18.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PRD-101"/>
    <s v="CloudSync Pro"/>
    <x v="0"/>
    <s v="North America"/>
    <s v="$120.00"/>
    <n v="450"/>
    <x v="0"/>
    <s v="$30.00"/>
  </r>
  <r>
    <s v="PRD-102"/>
    <s v="Apex Ergonomic Chair"/>
    <x v="1"/>
    <s v="Europe"/>
    <s v="$250.00"/>
    <n v="120"/>
    <x v="1"/>
    <s v="$150.00"/>
  </r>
  <r>
    <s v="PRD-103"/>
    <s v="Nexus Smart Hub"/>
    <x v="2"/>
    <s v="Asia-Pacific"/>
    <s v="$85.00"/>
    <n v="630"/>
    <x v="2"/>
    <s v="$40.00"/>
  </r>
  <r>
    <s v="PRD-104"/>
    <s v="DataGuard Security"/>
    <x v="0"/>
    <s v="Latin America"/>
    <s v="$200.00"/>
    <n v="210"/>
    <x v="3"/>
    <s v="$50.00"/>
  </r>
  <r>
    <s v="PRD-105"/>
    <s v="Titan Water Bottle"/>
    <x v="3"/>
    <s v="North America"/>
    <s v="$25.00"/>
    <n v="1500"/>
    <x v="4"/>
    <s v="$8.00"/>
  </r>
  <r>
    <s v="PRD-106"/>
    <s v="UltraView 4K Monitor"/>
    <x v="2"/>
    <s v="Europe"/>
    <s v="$350.00"/>
    <n v="180"/>
    <x v="5"/>
    <s v="$220.00"/>
  </r>
  <r>
    <s v="PRD-107"/>
    <s v="TaskMaster CRM"/>
    <x v="0"/>
    <s v="Asia-Pacific"/>
    <s v="$75.00"/>
    <n v="890"/>
    <x v="6"/>
    <s v="$15.00"/>
  </r>
  <r>
    <s v="PRD-108"/>
    <s v="AeroRun Sneakers"/>
    <x v="3"/>
    <s v="North America"/>
    <s v="$90.00"/>
    <n v="540"/>
    <x v="7"/>
    <s v="$35.00"/>
  </r>
  <r>
    <s v="PRD-109"/>
    <s v="SteelDesk Executive"/>
    <x v="1"/>
    <s v="Middle East"/>
    <s v="$450.00"/>
    <n v="65"/>
    <x v="8"/>
    <s v="$280.00"/>
  </r>
  <r>
    <s v="PRD-110"/>
    <s v="SonicWave Earbuds"/>
    <x v="2"/>
    <s v="Latin America"/>
    <s v="$60.00"/>
    <n v="920"/>
    <x v="9"/>
    <s v="$22.00"/>
  </r>
  <r>
    <s v="PRD-111"/>
    <s v="FreshBrew Coffee Maker"/>
    <x v="4"/>
    <s v="Europe"/>
    <s v="$110.00"/>
    <n v="340"/>
    <x v="10"/>
    <s v="$55.00"/>
  </r>
  <r>
    <s v="PRD-112"/>
    <s v="SwiftInvoice SaaS"/>
    <x v="0"/>
    <s v="North America"/>
    <s v="$45.00"/>
    <n v="1200"/>
    <x v="0"/>
    <s v="$5.00"/>
  </r>
  <r>
    <s v="PRD-113"/>
    <s v="GlowLED Desk Lamp"/>
    <x v="1"/>
    <s v="Asia-Pacific"/>
    <s v="$40.00"/>
    <n v="780"/>
    <x v="11"/>
    <s v="$14.00"/>
  </r>
  <r>
    <s v="PRD-114"/>
    <s v="Horizon Backpack"/>
    <x v="3"/>
    <s v="Latin America"/>
    <s v="$65.00"/>
    <n v="410"/>
    <x v="12"/>
    <s v="$20.00"/>
  </r>
  <r>
    <s v="PRD-115"/>
    <s v="PowerCore Portable Charger"/>
    <x v="2"/>
    <s v="North America"/>
    <s v="$50.00"/>
    <n v="1100"/>
    <x v="13"/>
    <s v="$18.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PRD-101"/>
    <s v="CloudSync Pro"/>
    <s v="Software"/>
    <x v="0"/>
    <s v="$120.00"/>
    <n v="450"/>
    <x v="0"/>
    <s v="$30.00"/>
  </r>
  <r>
    <s v="PRD-102"/>
    <s v="Apex Ergonomic Chair"/>
    <s v="Furniture"/>
    <x v="1"/>
    <s v="$250.00"/>
    <n v="120"/>
    <x v="1"/>
    <s v="$150.00"/>
  </r>
  <r>
    <s v="PRD-103"/>
    <s v="Nexus Smart Hub"/>
    <s v="Electronics"/>
    <x v="2"/>
    <s v="$85.00"/>
    <n v="630"/>
    <x v="2"/>
    <s v="$40.00"/>
  </r>
  <r>
    <s v="PRD-104"/>
    <s v="DataGuard Security"/>
    <s v="Software"/>
    <x v="3"/>
    <s v="$200.00"/>
    <n v="210"/>
    <x v="3"/>
    <s v="$50.00"/>
  </r>
  <r>
    <s v="PRD-105"/>
    <s v="Titan Water Bottle"/>
    <s v="Lifestyle"/>
    <x v="0"/>
    <s v="$25.00"/>
    <n v="1500"/>
    <x v="4"/>
    <s v="$8.00"/>
  </r>
  <r>
    <s v="PRD-106"/>
    <s v="UltraView 4K Monitor"/>
    <s v="Electronics"/>
    <x v="1"/>
    <s v="$350.00"/>
    <n v="180"/>
    <x v="5"/>
    <s v="$220.00"/>
  </r>
  <r>
    <s v="PRD-107"/>
    <s v="TaskMaster CRM"/>
    <s v="Software"/>
    <x v="2"/>
    <s v="$75.00"/>
    <n v="890"/>
    <x v="6"/>
    <s v="$15.00"/>
  </r>
  <r>
    <s v="PRD-108"/>
    <s v="AeroRun Sneakers"/>
    <s v="Lifestyle"/>
    <x v="0"/>
    <s v="$90.00"/>
    <n v="540"/>
    <x v="7"/>
    <s v="$35.00"/>
  </r>
  <r>
    <s v="PRD-109"/>
    <s v="SteelDesk Executive"/>
    <s v="Furniture"/>
    <x v="4"/>
    <s v="$450.00"/>
    <n v="65"/>
    <x v="8"/>
    <s v="$280.00"/>
  </r>
  <r>
    <s v="PRD-110"/>
    <s v="SonicWave Earbuds"/>
    <s v="Electronics"/>
    <x v="3"/>
    <s v="$60.00"/>
    <n v="920"/>
    <x v="9"/>
    <s v="$22.00"/>
  </r>
  <r>
    <s v="PRD-111"/>
    <s v="FreshBrew Coffee Maker"/>
    <s v="Appliances"/>
    <x v="1"/>
    <s v="$110.00"/>
    <n v="340"/>
    <x v="10"/>
    <s v="$55.00"/>
  </r>
  <r>
    <s v="PRD-112"/>
    <s v="SwiftInvoice SaaS"/>
    <s v="Software"/>
    <x v="0"/>
    <s v="$45.00"/>
    <n v="1200"/>
    <x v="0"/>
    <s v="$5.00"/>
  </r>
  <r>
    <s v="PRD-113"/>
    <s v="GlowLED Desk Lamp"/>
    <s v="Furniture"/>
    <x v="2"/>
    <s v="$40.00"/>
    <n v="780"/>
    <x v="11"/>
    <s v="$14.00"/>
  </r>
  <r>
    <s v="PRD-114"/>
    <s v="Horizon Backpack"/>
    <s v="Lifestyle"/>
    <x v="3"/>
    <s v="$65.00"/>
    <n v="410"/>
    <x v="12"/>
    <s v="$20.00"/>
  </r>
  <r>
    <s v="PRD-115"/>
    <s v="PowerCore Portable Charger"/>
    <s v="Electronics"/>
    <x v="0"/>
    <s v="$50.00"/>
    <n v="1100"/>
    <x v="13"/>
    <s v="$1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4433EE-62E3-4113-B150-5FF936DD5D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3:M9" firstHeaderRow="1" firstDataRow="1" firstDataCol="1"/>
  <pivotFields count="8">
    <pivotField showAll="0"/>
    <pivotField showAll="0"/>
    <pivotField showAll="0">
      <items count="6">
        <item x="4"/>
        <item x="2"/>
        <item x="1"/>
        <item x="3"/>
        <item x="0"/>
        <item t="default"/>
      </items>
    </pivotField>
    <pivotField axis="axisRow" showAll="0">
      <items count="6">
        <item x="2"/>
        <item x="1"/>
        <item x="3"/>
        <item x="4"/>
        <item x="0"/>
        <item t="default"/>
      </items>
    </pivotField>
    <pivotField showAll="0">
      <items count="16">
        <item h="1" x="10"/>
        <item h="1" x="0"/>
        <item h="1" x="3"/>
        <item h="1" x="4"/>
        <item h="1" x="1"/>
        <item h="1" x="5"/>
        <item h="1" x="12"/>
        <item h="1" x="11"/>
        <item x="8"/>
        <item x="14"/>
        <item x="9"/>
        <item x="13"/>
        <item x="6"/>
        <item x="2"/>
        <item x="7"/>
        <item t="default"/>
      </items>
    </pivotField>
    <pivotField dataField="1" showAll="0">
      <items count="16">
        <item x="8"/>
        <item x="1"/>
        <item x="5"/>
        <item x="3"/>
        <item x="10"/>
        <item x="13"/>
        <item x="0"/>
        <item x="7"/>
        <item x="2"/>
        <item x="12"/>
        <item x="6"/>
        <item x="9"/>
        <item x="14"/>
        <item x="11"/>
        <item x="4"/>
        <item t="default"/>
      </items>
    </pivotField>
    <pivotField showAll="0"/>
    <pivotField showAll="0"/>
  </pivotFields>
  <rowFields count="1">
    <field x="3"/>
  </rowFields>
  <rowItems count="6">
    <i>
      <x/>
    </i>
    <i>
      <x v="1"/>
    </i>
    <i>
      <x v="2"/>
    </i>
    <i>
      <x v="3"/>
    </i>
    <i>
      <x v="4"/>
    </i>
    <i t="grand">
      <x/>
    </i>
  </rowItems>
  <colItems count="1">
    <i/>
  </colItems>
  <dataFields count="1">
    <dataField name="Sum of Units Sold" fld="5"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BF9E96-BD9C-4298-8B9E-D257477FBF0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K8" firstHeaderRow="1" firstDataRow="1" firstDataCol="1"/>
  <pivotFields count="8">
    <pivotField showAll="0"/>
    <pivotField showAll="0"/>
    <pivotField axis="axisRow" showAll="0">
      <items count="6">
        <item x="4"/>
        <item x="2"/>
        <item x="1"/>
        <item x="3"/>
        <item x="0"/>
        <item t="default"/>
      </items>
    </pivotField>
    <pivotField showAll="0"/>
    <pivotField showAll="0"/>
    <pivotField showAll="0"/>
    <pivotField dataField="1" showAll="0">
      <items count="15">
        <item x="12"/>
        <item x="8"/>
        <item x="1"/>
        <item x="11"/>
        <item x="10"/>
        <item x="4"/>
        <item x="3"/>
        <item x="7"/>
        <item x="2"/>
        <item x="0"/>
        <item x="13"/>
        <item x="9"/>
        <item x="5"/>
        <item x="6"/>
        <item t="default"/>
      </items>
    </pivotField>
    <pivotField showAll="0"/>
  </pivotFields>
  <rowFields count="1">
    <field x="2"/>
  </rowFields>
  <rowItems count="6">
    <i>
      <x/>
    </i>
    <i>
      <x v="1"/>
    </i>
    <i>
      <x v="2"/>
    </i>
    <i>
      <x v="3"/>
    </i>
    <i>
      <x v="4"/>
    </i>
    <i t="grand">
      <x/>
    </i>
  </rowItems>
  <colItems count="1">
    <i/>
  </colItems>
  <dataFields count="1">
    <dataField name="Count of Total Revenue ($)" fld="6"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4EFA51-1820-4795-A014-68F982C624F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K8" firstHeaderRow="1" firstDataRow="1" firstDataCol="1"/>
  <pivotFields count="8">
    <pivotField showAll="0"/>
    <pivotField showAll="0"/>
    <pivotField showAll="0"/>
    <pivotField axis="axisRow" showAll="0">
      <items count="6">
        <item x="2"/>
        <item x="1"/>
        <item x="3"/>
        <item x="4"/>
        <item x="0"/>
        <item t="default"/>
      </items>
    </pivotField>
    <pivotField showAll="0"/>
    <pivotField showAll="0"/>
    <pivotField dataField="1" showAll="0">
      <items count="15">
        <item x="12"/>
        <item x="8"/>
        <item x="1"/>
        <item x="11"/>
        <item x="10"/>
        <item x="4"/>
        <item x="3"/>
        <item x="7"/>
        <item x="2"/>
        <item x="0"/>
        <item x="13"/>
        <item x="9"/>
        <item x="5"/>
        <item x="6"/>
        <item t="default"/>
      </items>
    </pivotField>
    <pivotField showAll="0"/>
  </pivotFields>
  <rowFields count="1">
    <field x="3"/>
  </rowFields>
  <rowItems count="6">
    <i>
      <x/>
    </i>
    <i>
      <x v="1"/>
    </i>
    <i>
      <x v="2"/>
    </i>
    <i>
      <x v="3"/>
    </i>
    <i>
      <x v="4"/>
    </i>
    <i t="grand">
      <x/>
    </i>
  </rowItems>
  <colItems count="1">
    <i/>
  </colItems>
  <dataFields count="1">
    <dataField name="Count of Total Revenue ($)" fld="6"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45A308-CA35-4E52-8519-944EF005A964}" sourceName="Region">
  <pivotTables>
    <pivotTable tabId="1" name="PivotTable1"/>
  </pivotTables>
  <data>
    <tabular pivotCacheId="1183740006">
      <items count="5">
        <i x="2" s="1"/>
        <i x="1"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 xr10:uid="{4BA3031C-5C08-4532-8225-167CDC5AD947}" sourceName="Units Sold">
  <pivotTables>
    <pivotTable tabId="1" name="PivotTable1"/>
  </pivotTables>
  <data>
    <tabular pivotCacheId="1183740006">
      <items count="15">
        <i x="8" s="1"/>
        <i x="1" s="1"/>
        <i x="5" s="1"/>
        <i x="3" s="1"/>
        <i x="10" s="1"/>
        <i x="13" s="1"/>
        <i x="0" s="1"/>
        <i x="7" s="1"/>
        <i x="2" s="1"/>
        <i x="12" s="1"/>
        <i x="6" s="1"/>
        <i x="9" s="1"/>
        <i x="14" s="1"/>
        <i x="1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C63EDA-BDBA-4EC3-B398-2A12C292E0F1}" sourceName="Category">
  <pivotTables>
    <pivotTable tabId="3" name="PivotTable2"/>
  </pivotTables>
  <data>
    <tabular pivotCacheId="1882389236">
      <items count="5">
        <i x="4" s="1"/>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 xr10:uid="{1461C696-A689-4879-9590-33EFD3D384E9}" sourceName="Total Revenue ($)">
  <pivotTables>
    <pivotTable tabId="3" name="PivotTable2"/>
  </pivotTables>
  <data>
    <tabular pivotCacheId="1882389236">
      <items count="14">
        <i x="12" s="1"/>
        <i x="8" s="1"/>
        <i x="1" s="1"/>
        <i x="11" s="1"/>
        <i x="10" s="1"/>
        <i x="4" s="1"/>
        <i x="3" s="1"/>
        <i x="7" s="1"/>
        <i x="2" s="1"/>
        <i x="0" s="1"/>
        <i x="13" s="1"/>
        <i x="9" s="1"/>
        <i x="5"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8FF4AD4-5D29-498F-BA04-086EAA4726C2}" sourceName="Region">
  <pivotTables>
    <pivotTable tabId="4" name="PivotTable3"/>
  </pivotTables>
  <data>
    <tabular pivotCacheId="1481466994">
      <items count="5">
        <i x="2" s="1"/>
        <i x="1" s="1"/>
        <i x="3" s="1"/>
        <i x="4"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1" xr10:uid="{7F2070B9-A794-4776-924D-3A6A7E7CECEB}" sourceName="Total Revenue ($)">
  <pivotTables>
    <pivotTable tabId="4" name="PivotTable3"/>
  </pivotTables>
  <data>
    <tabular pivotCacheId="1481466994">
      <items count="14">
        <i x="12" s="1"/>
        <i x="8" s="1"/>
        <i x="1" s="1"/>
        <i x="11" s="1"/>
        <i x="10" s="1"/>
        <i x="4" s="1"/>
        <i x="3" s="1"/>
        <i x="7" s="1"/>
        <i x="2" s="1"/>
        <i x="0" s="1"/>
        <i x="13" s="1"/>
        <i x="9"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55439FC-F712-47D2-A2DC-6D4BCCE716BB}" cache="Slicer_Region" caption="Region" rowHeight="241300"/>
  <slicer name="Units Sold" xr10:uid="{CC7331A8-41C4-4708-B99C-F2353FCAF890}" cache="Slicer_Units_Sold" caption="Units Sol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F9CE342-6297-4057-927A-D3A763043515}" cache="Slicer_Category" caption="Category" rowHeight="241300"/>
  <slicer name="Total Revenue ($)" xr10:uid="{A8946CE6-113E-4D1B-A1AB-52755E604C4A}" cache="Slicer_Total_Revenue" caption="Total Revenue ($)"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6B03CB1-A3AF-4303-9F37-5D5D1936BF10}" cache="Slicer_Region1" caption="Region" rowHeight="241300"/>
  <slicer name="Total Revenue ($) 1" xr10:uid="{72B958AF-3CA8-4133-A6CF-FEABF29956E4}" cache="Slicer_Total_Revenue1" caption="Total Revenue ($)"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4AA83-690A-47E4-96F8-C81B508EE5E3}">
  <sheetPr codeName="Sheet1"/>
  <dimension ref="A1:M16"/>
  <sheetViews>
    <sheetView workbookViewId="0">
      <selection activeCell="L3" sqref="L3:M9"/>
    </sheetView>
  </sheetViews>
  <sheetFormatPr defaultRowHeight="15" x14ac:dyDescent="0.25"/>
  <cols>
    <col min="1" max="1" width="19.7109375" customWidth="1"/>
    <col min="2" max="2" width="17.28515625" customWidth="1"/>
    <col min="3" max="3" width="18.7109375" customWidth="1"/>
    <col min="4" max="5" width="15.85546875" customWidth="1"/>
    <col min="6" max="6" width="14.85546875" customWidth="1"/>
    <col min="7" max="7" width="13.85546875" customWidth="1"/>
    <col min="8" max="8" width="15.7109375" customWidth="1"/>
    <col min="12" max="12" width="14" bestFit="1" customWidth="1"/>
    <col min="13" max="14" width="16.7109375" bestFit="1" customWidth="1"/>
  </cols>
  <sheetData>
    <row r="1" spans="1:13" ht="45.75" thickBot="1" x14ac:dyDescent="0.3">
      <c r="A1" s="1" t="s">
        <v>0</v>
      </c>
      <c r="B1" s="1" t="s">
        <v>1</v>
      </c>
      <c r="C1" s="1" t="s">
        <v>2</v>
      </c>
      <c r="D1" s="1" t="s">
        <v>3</v>
      </c>
      <c r="E1" s="1" t="s">
        <v>4</v>
      </c>
      <c r="F1" s="1" t="s">
        <v>5</v>
      </c>
      <c r="G1" s="1" t="s">
        <v>6</v>
      </c>
      <c r="H1" s="1" t="s">
        <v>7</v>
      </c>
    </row>
    <row r="2" spans="1:13" ht="15.75" thickBot="1" x14ac:dyDescent="0.3">
      <c r="A2" s="1" t="s">
        <v>8</v>
      </c>
      <c r="B2" s="2" t="s">
        <v>9</v>
      </c>
      <c r="C2" s="2" t="s">
        <v>10</v>
      </c>
      <c r="D2" s="2" t="s">
        <v>11</v>
      </c>
      <c r="E2" s="2" t="s">
        <v>12</v>
      </c>
      <c r="F2" s="2">
        <v>450</v>
      </c>
      <c r="G2" s="2" t="s">
        <v>13</v>
      </c>
      <c r="H2" s="2" t="s">
        <v>14</v>
      </c>
    </row>
    <row r="3" spans="1:13" ht="43.5" thickBot="1" x14ac:dyDescent="0.3">
      <c r="A3" s="1" t="s">
        <v>15</v>
      </c>
      <c r="B3" s="2" t="s">
        <v>16</v>
      </c>
      <c r="C3" s="2" t="s">
        <v>17</v>
      </c>
      <c r="D3" s="2" t="s">
        <v>18</v>
      </c>
      <c r="E3" s="2" t="s">
        <v>19</v>
      </c>
      <c r="F3" s="2">
        <v>120</v>
      </c>
      <c r="G3" s="2" t="s">
        <v>20</v>
      </c>
      <c r="H3" s="2" t="s">
        <v>21</v>
      </c>
      <c r="L3" s="4" t="s">
        <v>90</v>
      </c>
      <c r="M3" t="s">
        <v>92</v>
      </c>
    </row>
    <row r="4" spans="1:13" ht="29.25" thickBot="1" x14ac:dyDescent="0.3">
      <c r="A4" s="1" t="s">
        <v>22</v>
      </c>
      <c r="B4" s="2" t="s">
        <v>23</v>
      </c>
      <c r="C4" s="2" t="s">
        <v>24</v>
      </c>
      <c r="D4" s="2" t="s">
        <v>25</v>
      </c>
      <c r="E4" s="2" t="s">
        <v>26</v>
      </c>
      <c r="F4" s="2">
        <v>630</v>
      </c>
      <c r="G4" s="2" t="s">
        <v>27</v>
      </c>
      <c r="H4" s="2" t="s">
        <v>28</v>
      </c>
      <c r="L4" s="5" t="s">
        <v>25</v>
      </c>
      <c r="M4">
        <v>2300</v>
      </c>
    </row>
    <row r="5" spans="1:13" ht="29.25" thickBot="1" x14ac:dyDescent="0.3">
      <c r="A5" s="1" t="s">
        <v>29</v>
      </c>
      <c r="B5" s="2" t="s">
        <v>30</v>
      </c>
      <c r="C5" s="2" t="s">
        <v>10</v>
      </c>
      <c r="D5" s="2" t="s">
        <v>31</v>
      </c>
      <c r="E5" s="2" t="s">
        <v>32</v>
      </c>
      <c r="F5" s="2">
        <v>210</v>
      </c>
      <c r="G5" s="2" t="s">
        <v>33</v>
      </c>
      <c r="H5" s="2" t="s">
        <v>34</v>
      </c>
      <c r="L5" s="5" t="s">
        <v>18</v>
      </c>
      <c r="M5">
        <v>640</v>
      </c>
    </row>
    <row r="6" spans="1:13" ht="29.25" thickBot="1" x14ac:dyDescent="0.3">
      <c r="A6" s="1" t="s">
        <v>35</v>
      </c>
      <c r="B6" s="2" t="s">
        <v>36</v>
      </c>
      <c r="C6" s="2" t="s">
        <v>37</v>
      </c>
      <c r="D6" s="2" t="s">
        <v>11</v>
      </c>
      <c r="E6" s="2" t="s">
        <v>38</v>
      </c>
      <c r="F6" s="3">
        <v>1500</v>
      </c>
      <c r="G6" s="2" t="s">
        <v>39</v>
      </c>
      <c r="H6" s="2" t="s">
        <v>40</v>
      </c>
      <c r="L6" s="5" t="s">
        <v>31</v>
      </c>
      <c r="M6">
        <v>1540</v>
      </c>
    </row>
    <row r="7" spans="1:13" ht="29.25" thickBot="1" x14ac:dyDescent="0.3">
      <c r="A7" s="1" t="s">
        <v>41</v>
      </c>
      <c r="B7" s="2" t="s">
        <v>42</v>
      </c>
      <c r="C7" s="2" t="s">
        <v>24</v>
      </c>
      <c r="D7" s="2" t="s">
        <v>18</v>
      </c>
      <c r="E7" s="2" t="s">
        <v>43</v>
      </c>
      <c r="F7" s="2">
        <v>180</v>
      </c>
      <c r="G7" s="2" t="s">
        <v>44</v>
      </c>
      <c r="H7" s="2" t="s">
        <v>45</v>
      </c>
      <c r="L7" s="5" t="s">
        <v>58</v>
      </c>
      <c r="M7">
        <v>65</v>
      </c>
    </row>
    <row r="8" spans="1:13" ht="29.25" thickBot="1" x14ac:dyDescent="0.3">
      <c r="A8" s="1" t="s">
        <v>46</v>
      </c>
      <c r="B8" s="2" t="s">
        <v>47</v>
      </c>
      <c r="C8" s="2" t="s">
        <v>10</v>
      </c>
      <c r="D8" s="2" t="s">
        <v>25</v>
      </c>
      <c r="E8" s="2" t="s">
        <v>48</v>
      </c>
      <c r="F8" s="2">
        <v>890</v>
      </c>
      <c r="G8" s="2" t="s">
        <v>49</v>
      </c>
      <c r="H8" s="2" t="s">
        <v>50</v>
      </c>
      <c r="L8" s="5" t="s">
        <v>11</v>
      </c>
      <c r="M8">
        <v>4790</v>
      </c>
    </row>
    <row r="9" spans="1:13" ht="29.25" thickBot="1" x14ac:dyDescent="0.3">
      <c r="A9" s="1" t="s">
        <v>51</v>
      </c>
      <c r="B9" s="2" t="s">
        <v>52</v>
      </c>
      <c r="C9" s="2" t="s">
        <v>37</v>
      </c>
      <c r="D9" s="2" t="s">
        <v>11</v>
      </c>
      <c r="E9" s="2" t="s">
        <v>53</v>
      </c>
      <c r="F9" s="2">
        <v>540</v>
      </c>
      <c r="G9" s="2" t="s">
        <v>54</v>
      </c>
      <c r="H9" s="2" t="s">
        <v>55</v>
      </c>
      <c r="L9" s="5" t="s">
        <v>91</v>
      </c>
      <c r="M9">
        <v>9335</v>
      </c>
    </row>
    <row r="10" spans="1:13" ht="29.25" thickBot="1" x14ac:dyDescent="0.3">
      <c r="A10" s="1" t="s">
        <v>56</v>
      </c>
      <c r="B10" s="2" t="s">
        <v>57</v>
      </c>
      <c r="C10" s="2" t="s">
        <v>17</v>
      </c>
      <c r="D10" s="2" t="s">
        <v>58</v>
      </c>
      <c r="E10" s="2" t="s">
        <v>59</v>
      </c>
      <c r="F10" s="2">
        <v>65</v>
      </c>
      <c r="G10" s="2" t="s">
        <v>60</v>
      </c>
      <c r="H10" s="2" t="s">
        <v>61</v>
      </c>
    </row>
    <row r="11" spans="1:13" ht="29.25" thickBot="1" x14ac:dyDescent="0.3">
      <c r="A11" s="1" t="s">
        <v>62</v>
      </c>
      <c r="B11" s="2" t="s">
        <v>63</v>
      </c>
      <c r="C11" s="2" t="s">
        <v>24</v>
      </c>
      <c r="D11" s="2" t="s">
        <v>31</v>
      </c>
      <c r="E11" s="2" t="s">
        <v>64</v>
      </c>
      <c r="F11" s="2">
        <v>920</v>
      </c>
      <c r="G11" s="2" t="s">
        <v>65</v>
      </c>
      <c r="H11" s="2" t="s">
        <v>66</v>
      </c>
    </row>
    <row r="12" spans="1:13" ht="29.25" thickBot="1" x14ac:dyDescent="0.3">
      <c r="A12" s="1" t="s">
        <v>67</v>
      </c>
      <c r="B12" s="2" t="s">
        <v>68</v>
      </c>
      <c r="C12" s="2" t="s">
        <v>69</v>
      </c>
      <c r="D12" s="2" t="s">
        <v>18</v>
      </c>
      <c r="E12" s="2" t="s">
        <v>70</v>
      </c>
      <c r="F12" s="2">
        <v>340</v>
      </c>
      <c r="G12" s="2" t="s">
        <v>71</v>
      </c>
      <c r="H12" s="2" t="s">
        <v>72</v>
      </c>
    </row>
    <row r="13" spans="1:13" ht="29.25" thickBot="1" x14ac:dyDescent="0.3">
      <c r="A13" s="1" t="s">
        <v>73</v>
      </c>
      <c r="B13" s="2" t="s">
        <v>74</v>
      </c>
      <c r="C13" s="2" t="s">
        <v>10</v>
      </c>
      <c r="D13" s="2" t="s">
        <v>11</v>
      </c>
      <c r="E13" s="2" t="s">
        <v>75</v>
      </c>
      <c r="F13" s="3">
        <v>1200</v>
      </c>
      <c r="G13" s="2" t="s">
        <v>13</v>
      </c>
      <c r="H13" s="2" t="s">
        <v>76</v>
      </c>
    </row>
    <row r="14" spans="1:13" ht="29.25" thickBot="1" x14ac:dyDescent="0.3">
      <c r="A14" s="1" t="s">
        <v>77</v>
      </c>
      <c r="B14" s="2" t="s">
        <v>78</v>
      </c>
      <c r="C14" s="2" t="s">
        <v>17</v>
      </c>
      <c r="D14" s="2" t="s">
        <v>25</v>
      </c>
      <c r="E14" s="2" t="s">
        <v>28</v>
      </c>
      <c r="F14" s="2">
        <v>780</v>
      </c>
      <c r="G14" s="2" t="s">
        <v>79</v>
      </c>
      <c r="H14" s="2" t="s">
        <v>80</v>
      </c>
    </row>
    <row r="15" spans="1:13" ht="29.25" thickBot="1" x14ac:dyDescent="0.3">
      <c r="A15" s="1" t="s">
        <v>81</v>
      </c>
      <c r="B15" s="2" t="s">
        <v>82</v>
      </c>
      <c r="C15" s="2" t="s">
        <v>37</v>
      </c>
      <c r="D15" s="2" t="s">
        <v>31</v>
      </c>
      <c r="E15" s="2" t="s">
        <v>83</v>
      </c>
      <c r="F15" s="2">
        <v>410</v>
      </c>
      <c r="G15" s="2" t="s">
        <v>84</v>
      </c>
      <c r="H15" s="2" t="s">
        <v>85</v>
      </c>
    </row>
    <row r="16" spans="1:13" ht="43.5" thickBot="1" x14ac:dyDescent="0.3">
      <c r="A16" s="1" t="s">
        <v>86</v>
      </c>
      <c r="B16" s="2" t="s">
        <v>87</v>
      </c>
      <c r="C16" s="2" t="s">
        <v>24</v>
      </c>
      <c r="D16" s="2" t="s">
        <v>11</v>
      </c>
      <c r="E16" s="2" t="s">
        <v>34</v>
      </c>
      <c r="F16" s="3">
        <v>1100</v>
      </c>
      <c r="G16" s="2" t="s">
        <v>88</v>
      </c>
      <c r="H16" s="2" t="s">
        <v>89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3DBBD-BBC2-4A93-A5B1-D6D92445829C}">
  <sheetPr codeName="Sheet2"/>
  <dimension ref="A1:K16"/>
  <sheetViews>
    <sheetView workbookViewId="0">
      <selection activeCell="J2" sqref="J2:K8"/>
    </sheetView>
  </sheetViews>
  <sheetFormatPr defaultRowHeight="15" x14ac:dyDescent="0.25"/>
  <cols>
    <col min="1" max="1" width="18.140625" customWidth="1"/>
    <col min="2" max="2" width="16.5703125" customWidth="1"/>
    <col min="3" max="3" width="15.28515625" customWidth="1"/>
    <col min="4" max="4" width="14.5703125" customWidth="1"/>
    <col min="5" max="5" width="13.85546875" customWidth="1"/>
    <col min="6" max="6" width="12.5703125" customWidth="1"/>
    <col min="7" max="7" width="15" customWidth="1"/>
    <col min="8" max="8" width="12.28515625" customWidth="1"/>
    <col min="10" max="10" width="13.140625" bestFit="1" customWidth="1"/>
    <col min="11" max="11" width="25" bestFit="1" customWidth="1"/>
  </cols>
  <sheetData>
    <row r="1" spans="1:11" ht="30.75" thickBot="1" x14ac:dyDescent="0.3">
      <c r="A1" s="1" t="s">
        <v>0</v>
      </c>
      <c r="B1" s="1" t="s">
        <v>1</v>
      </c>
      <c r="C1" s="1" t="s">
        <v>2</v>
      </c>
      <c r="D1" s="1" t="s">
        <v>3</v>
      </c>
      <c r="E1" s="1" t="s">
        <v>4</v>
      </c>
      <c r="F1" s="1" t="s">
        <v>5</v>
      </c>
      <c r="G1" s="1" t="s">
        <v>6</v>
      </c>
      <c r="H1" s="1" t="s">
        <v>7</v>
      </c>
    </row>
    <row r="2" spans="1:11" ht="29.25" thickBot="1" x14ac:dyDescent="0.3">
      <c r="A2" s="1" t="s">
        <v>8</v>
      </c>
      <c r="B2" s="2" t="s">
        <v>9</v>
      </c>
      <c r="C2" s="2" t="s">
        <v>10</v>
      </c>
      <c r="D2" s="2" t="s">
        <v>11</v>
      </c>
      <c r="E2" s="2" t="s">
        <v>12</v>
      </c>
      <c r="F2" s="2">
        <v>450</v>
      </c>
      <c r="G2" s="2" t="s">
        <v>13</v>
      </c>
      <c r="H2" s="2" t="s">
        <v>14</v>
      </c>
      <c r="J2" s="4" t="s">
        <v>90</v>
      </c>
      <c r="K2" t="s">
        <v>93</v>
      </c>
    </row>
    <row r="3" spans="1:11" ht="43.5" thickBot="1" x14ac:dyDescent="0.3">
      <c r="A3" s="1" t="s">
        <v>15</v>
      </c>
      <c r="B3" s="2" t="s">
        <v>16</v>
      </c>
      <c r="C3" s="2" t="s">
        <v>17</v>
      </c>
      <c r="D3" s="2" t="s">
        <v>18</v>
      </c>
      <c r="E3" s="2" t="s">
        <v>19</v>
      </c>
      <c r="F3" s="2">
        <v>120</v>
      </c>
      <c r="G3" s="2" t="s">
        <v>20</v>
      </c>
      <c r="H3" s="2" t="s">
        <v>21</v>
      </c>
      <c r="J3" s="5" t="s">
        <v>69</v>
      </c>
      <c r="K3">
        <v>1</v>
      </c>
    </row>
    <row r="4" spans="1:11" ht="29.25" thickBot="1" x14ac:dyDescent="0.3">
      <c r="A4" s="1" t="s">
        <v>22</v>
      </c>
      <c r="B4" s="2" t="s">
        <v>23</v>
      </c>
      <c r="C4" s="2" t="s">
        <v>24</v>
      </c>
      <c r="D4" s="2" t="s">
        <v>25</v>
      </c>
      <c r="E4" s="2" t="s">
        <v>26</v>
      </c>
      <c r="F4" s="2">
        <v>630</v>
      </c>
      <c r="G4" s="2" t="s">
        <v>27</v>
      </c>
      <c r="H4" s="2" t="s">
        <v>28</v>
      </c>
      <c r="J4" s="5" t="s">
        <v>24</v>
      </c>
      <c r="K4">
        <v>4</v>
      </c>
    </row>
    <row r="5" spans="1:11" ht="29.25" thickBot="1" x14ac:dyDescent="0.3">
      <c r="A5" s="1" t="s">
        <v>29</v>
      </c>
      <c r="B5" s="2" t="s">
        <v>30</v>
      </c>
      <c r="C5" s="2" t="s">
        <v>10</v>
      </c>
      <c r="D5" s="2" t="s">
        <v>31</v>
      </c>
      <c r="E5" s="2" t="s">
        <v>32</v>
      </c>
      <c r="F5" s="2">
        <v>210</v>
      </c>
      <c r="G5" s="2" t="s">
        <v>33</v>
      </c>
      <c r="H5" s="2" t="s">
        <v>34</v>
      </c>
      <c r="J5" s="5" t="s">
        <v>17</v>
      </c>
      <c r="K5">
        <v>3</v>
      </c>
    </row>
    <row r="6" spans="1:11" ht="29.25" thickBot="1" x14ac:dyDescent="0.3">
      <c r="A6" s="1" t="s">
        <v>35</v>
      </c>
      <c r="B6" s="2" t="s">
        <v>36</v>
      </c>
      <c r="C6" s="2" t="s">
        <v>37</v>
      </c>
      <c r="D6" s="2" t="s">
        <v>11</v>
      </c>
      <c r="E6" s="2" t="s">
        <v>38</v>
      </c>
      <c r="F6" s="3">
        <v>1500</v>
      </c>
      <c r="G6" s="2" t="s">
        <v>39</v>
      </c>
      <c r="H6" s="2" t="s">
        <v>40</v>
      </c>
      <c r="J6" s="5" t="s">
        <v>37</v>
      </c>
      <c r="K6">
        <v>3</v>
      </c>
    </row>
    <row r="7" spans="1:11" ht="29.25" thickBot="1" x14ac:dyDescent="0.3">
      <c r="A7" s="1" t="s">
        <v>41</v>
      </c>
      <c r="B7" s="2" t="s">
        <v>42</v>
      </c>
      <c r="C7" s="2" t="s">
        <v>24</v>
      </c>
      <c r="D7" s="2" t="s">
        <v>18</v>
      </c>
      <c r="E7" s="2" t="s">
        <v>43</v>
      </c>
      <c r="F7" s="2">
        <v>180</v>
      </c>
      <c r="G7" s="2" t="s">
        <v>44</v>
      </c>
      <c r="H7" s="2" t="s">
        <v>45</v>
      </c>
      <c r="J7" s="5" t="s">
        <v>10</v>
      </c>
      <c r="K7">
        <v>4</v>
      </c>
    </row>
    <row r="8" spans="1:11" ht="29.25" thickBot="1" x14ac:dyDescent="0.3">
      <c r="A8" s="1" t="s">
        <v>46</v>
      </c>
      <c r="B8" s="2" t="s">
        <v>47</v>
      </c>
      <c r="C8" s="2" t="s">
        <v>10</v>
      </c>
      <c r="D8" s="2" t="s">
        <v>25</v>
      </c>
      <c r="E8" s="2" t="s">
        <v>48</v>
      </c>
      <c r="F8" s="2">
        <v>890</v>
      </c>
      <c r="G8" s="2" t="s">
        <v>49</v>
      </c>
      <c r="H8" s="2" t="s">
        <v>50</v>
      </c>
      <c r="J8" s="5" t="s">
        <v>91</v>
      </c>
      <c r="K8">
        <v>15</v>
      </c>
    </row>
    <row r="9" spans="1:11" ht="29.25" thickBot="1" x14ac:dyDescent="0.3">
      <c r="A9" s="1" t="s">
        <v>51</v>
      </c>
      <c r="B9" s="2" t="s">
        <v>52</v>
      </c>
      <c r="C9" s="2" t="s">
        <v>37</v>
      </c>
      <c r="D9" s="2" t="s">
        <v>11</v>
      </c>
      <c r="E9" s="2" t="s">
        <v>53</v>
      </c>
      <c r="F9" s="2">
        <v>540</v>
      </c>
      <c r="G9" s="2" t="s">
        <v>54</v>
      </c>
      <c r="H9" s="2" t="s">
        <v>55</v>
      </c>
    </row>
    <row r="10" spans="1:11" ht="29.25" thickBot="1" x14ac:dyDescent="0.3">
      <c r="A10" s="1" t="s">
        <v>56</v>
      </c>
      <c r="B10" s="2" t="s">
        <v>57</v>
      </c>
      <c r="C10" s="2" t="s">
        <v>17</v>
      </c>
      <c r="D10" s="2" t="s">
        <v>58</v>
      </c>
      <c r="E10" s="2" t="s">
        <v>59</v>
      </c>
      <c r="F10" s="2">
        <v>65</v>
      </c>
      <c r="G10" s="2" t="s">
        <v>60</v>
      </c>
      <c r="H10" s="2" t="s">
        <v>61</v>
      </c>
    </row>
    <row r="11" spans="1:11" ht="29.25" thickBot="1" x14ac:dyDescent="0.3">
      <c r="A11" s="1" t="s">
        <v>62</v>
      </c>
      <c r="B11" s="2" t="s">
        <v>63</v>
      </c>
      <c r="C11" s="2" t="s">
        <v>24</v>
      </c>
      <c r="D11" s="2" t="s">
        <v>31</v>
      </c>
      <c r="E11" s="2" t="s">
        <v>64</v>
      </c>
      <c r="F11" s="2">
        <v>920</v>
      </c>
      <c r="G11" s="2" t="s">
        <v>65</v>
      </c>
      <c r="H11" s="2" t="s">
        <v>66</v>
      </c>
    </row>
    <row r="12" spans="1:11" ht="29.25" thickBot="1" x14ac:dyDescent="0.3">
      <c r="A12" s="1" t="s">
        <v>67</v>
      </c>
      <c r="B12" s="2" t="s">
        <v>68</v>
      </c>
      <c r="C12" s="2" t="s">
        <v>69</v>
      </c>
      <c r="D12" s="2" t="s">
        <v>18</v>
      </c>
      <c r="E12" s="2" t="s">
        <v>70</v>
      </c>
      <c r="F12" s="2">
        <v>340</v>
      </c>
      <c r="G12" s="2" t="s">
        <v>71</v>
      </c>
      <c r="H12" s="2" t="s">
        <v>72</v>
      </c>
    </row>
    <row r="13" spans="1:11" ht="29.25" thickBot="1" x14ac:dyDescent="0.3">
      <c r="A13" s="1" t="s">
        <v>73</v>
      </c>
      <c r="B13" s="2" t="s">
        <v>74</v>
      </c>
      <c r="C13" s="2" t="s">
        <v>10</v>
      </c>
      <c r="D13" s="2" t="s">
        <v>11</v>
      </c>
      <c r="E13" s="2" t="s">
        <v>75</v>
      </c>
      <c r="F13" s="3">
        <v>1200</v>
      </c>
      <c r="G13" s="2" t="s">
        <v>13</v>
      </c>
      <c r="H13" s="2" t="s">
        <v>76</v>
      </c>
    </row>
    <row r="14" spans="1:11" ht="29.25" thickBot="1" x14ac:dyDescent="0.3">
      <c r="A14" s="1" t="s">
        <v>77</v>
      </c>
      <c r="B14" s="2" t="s">
        <v>78</v>
      </c>
      <c r="C14" s="2" t="s">
        <v>17</v>
      </c>
      <c r="D14" s="2" t="s">
        <v>25</v>
      </c>
      <c r="E14" s="2" t="s">
        <v>28</v>
      </c>
      <c r="F14" s="2">
        <v>780</v>
      </c>
      <c r="G14" s="2" t="s">
        <v>79</v>
      </c>
      <c r="H14" s="2" t="s">
        <v>80</v>
      </c>
    </row>
    <row r="15" spans="1:11" ht="29.25" thickBot="1" x14ac:dyDescent="0.3">
      <c r="A15" s="1" t="s">
        <v>81</v>
      </c>
      <c r="B15" s="2" t="s">
        <v>82</v>
      </c>
      <c r="C15" s="2" t="s">
        <v>37</v>
      </c>
      <c r="D15" s="2" t="s">
        <v>31</v>
      </c>
      <c r="E15" s="2" t="s">
        <v>83</v>
      </c>
      <c r="F15" s="2">
        <v>410</v>
      </c>
      <c r="G15" s="2" t="s">
        <v>84</v>
      </c>
      <c r="H15" s="2" t="s">
        <v>85</v>
      </c>
    </row>
    <row r="16" spans="1:11" ht="43.5" thickBot="1" x14ac:dyDescent="0.3">
      <c r="A16" s="1" t="s">
        <v>86</v>
      </c>
      <c r="B16" s="2" t="s">
        <v>87</v>
      </c>
      <c r="C16" s="2" t="s">
        <v>24</v>
      </c>
      <c r="D16" s="2" t="s">
        <v>11</v>
      </c>
      <c r="E16" s="2" t="s">
        <v>34</v>
      </c>
      <c r="F16" s="3">
        <v>1100</v>
      </c>
      <c r="G16" s="2" t="s">
        <v>88</v>
      </c>
      <c r="H16" s="2" t="s">
        <v>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01E7F-7988-4D69-AC06-BDB954004AB2}">
  <sheetPr codeName="Sheet3"/>
  <dimension ref="A1:K16"/>
  <sheetViews>
    <sheetView workbookViewId="0">
      <selection activeCell="J2" sqref="J2:K8"/>
    </sheetView>
  </sheetViews>
  <sheetFormatPr defaultRowHeight="15" x14ac:dyDescent="0.25"/>
  <cols>
    <col min="1" max="1" width="23.28515625" customWidth="1"/>
    <col min="2" max="2" width="28.7109375" customWidth="1"/>
    <col min="3" max="3" width="20.140625" customWidth="1"/>
    <col min="4" max="4" width="15.85546875" customWidth="1"/>
    <col min="5" max="5" width="12.85546875" customWidth="1"/>
    <col min="6" max="6" width="12.28515625" customWidth="1"/>
    <col min="7" max="7" width="15" customWidth="1"/>
    <col min="8" max="8" width="12.5703125" customWidth="1"/>
    <col min="10" max="10" width="14" bestFit="1" customWidth="1"/>
    <col min="11" max="11" width="25" bestFit="1" customWidth="1"/>
  </cols>
  <sheetData>
    <row r="1" spans="1:11" ht="30.75" thickBot="1" x14ac:dyDescent="0.3">
      <c r="A1" s="1" t="s">
        <v>0</v>
      </c>
      <c r="B1" s="1" t="s">
        <v>1</v>
      </c>
      <c r="C1" s="1" t="s">
        <v>2</v>
      </c>
      <c r="D1" s="1" t="s">
        <v>3</v>
      </c>
      <c r="E1" s="1" t="s">
        <v>4</v>
      </c>
      <c r="F1" s="1" t="s">
        <v>5</v>
      </c>
      <c r="G1" s="1" t="s">
        <v>6</v>
      </c>
      <c r="H1" s="1" t="s">
        <v>7</v>
      </c>
    </row>
    <row r="2" spans="1:11" ht="15.75" thickBot="1" x14ac:dyDescent="0.3">
      <c r="A2" s="1" t="s">
        <v>8</v>
      </c>
      <c r="B2" s="2" t="s">
        <v>9</v>
      </c>
      <c r="C2" s="2" t="s">
        <v>10</v>
      </c>
      <c r="D2" s="2" t="s">
        <v>11</v>
      </c>
      <c r="E2" s="2" t="s">
        <v>12</v>
      </c>
      <c r="F2" s="2">
        <v>450</v>
      </c>
      <c r="G2" s="2" t="s">
        <v>13</v>
      </c>
      <c r="H2" s="2" t="s">
        <v>14</v>
      </c>
      <c r="J2" s="4" t="s">
        <v>90</v>
      </c>
      <c r="K2" t="s">
        <v>93</v>
      </c>
    </row>
    <row r="3" spans="1:11" ht="15.75" thickBot="1" x14ac:dyDescent="0.3">
      <c r="A3" s="1" t="s">
        <v>15</v>
      </c>
      <c r="B3" s="2" t="s">
        <v>16</v>
      </c>
      <c r="C3" s="2" t="s">
        <v>17</v>
      </c>
      <c r="D3" s="2" t="s">
        <v>18</v>
      </c>
      <c r="E3" s="2" t="s">
        <v>19</v>
      </c>
      <c r="F3" s="2">
        <v>120</v>
      </c>
      <c r="G3" s="2" t="s">
        <v>20</v>
      </c>
      <c r="H3" s="2" t="s">
        <v>21</v>
      </c>
      <c r="J3" s="5" t="s">
        <v>25</v>
      </c>
      <c r="K3">
        <v>3</v>
      </c>
    </row>
    <row r="4" spans="1:11" ht="15.75" thickBot="1" x14ac:dyDescent="0.3">
      <c r="A4" s="1" t="s">
        <v>22</v>
      </c>
      <c r="B4" s="2" t="s">
        <v>23</v>
      </c>
      <c r="C4" s="2" t="s">
        <v>24</v>
      </c>
      <c r="D4" s="2" t="s">
        <v>25</v>
      </c>
      <c r="E4" s="2" t="s">
        <v>26</v>
      </c>
      <c r="F4" s="2">
        <v>630</v>
      </c>
      <c r="G4" s="2" t="s">
        <v>27</v>
      </c>
      <c r="H4" s="2" t="s">
        <v>28</v>
      </c>
      <c r="J4" s="5" t="s">
        <v>18</v>
      </c>
      <c r="K4">
        <v>3</v>
      </c>
    </row>
    <row r="5" spans="1:11" ht="15.75" thickBot="1" x14ac:dyDescent="0.3">
      <c r="A5" s="1" t="s">
        <v>29</v>
      </c>
      <c r="B5" s="2" t="s">
        <v>30</v>
      </c>
      <c r="C5" s="2" t="s">
        <v>10</v>
      </c>
      <c r="D5" s="2" t="s">
        <v>31</v>
      </c>
      <c r="E5" s="2" t="s">
        <v>32</v>
      </c>
      <c r="F5" s="2">
        <v>210</v>
      </c>
      <c r="G5" s="2" t="s">
        <v>33</v>
      </c>
      <c r="H5" s="2" t="s">
        <v>34</v>
      </c>
      <c r="J5" s="5" t="s">
        <v>31</v>
      </c>
      <c r="K5">
        <v>3</v>
      </c>
    </row>
    <row r="6" spans="1:11" ht="15.75" thickBot="1" x14ac:dyDescent="0.3">
      <c r="A6" s="1" t="s">
        <v>35</v>
      </c>
      <c r="B6" s="2" t="s">
        <v>36</v>
      </c>
      <c r="C6" s="2" t="s">
        <v>37</v>
      </c>
      <c r="D6" s="2" t="s">
        <v>11</v>
      </c>
      <c r="E6" s="2" t="s">
        <v>38</v>
      </c>
      <c r="F6" s="3">
        <v>1500</v>
      </c>
      <c r="G6" s="2" t="s">
        <v>39</v>
      </c>
      <c r="H6" s="2" t="s">
        <v>40</v>
      </c>
      <c r="J6" s="5" t="s">
        <v>58</v>
      </c>
      <c r="K6">
        <v>1</v>
      </c>
    </row>
    <row r="7" spans="1:11" ht="15.75" thickBot="1" x14ac:dyDescent="0.3">
      <c r="A7" s="1" t="s">
        <v>41</v>
      </c>
      <c r="B7" s="2" t="s">
        <v>42</v>
      </c>
      <c r="C7" s="2" t="s">
        <v>24</v>
      </c>
      <c r="D7" s="2" t="s">
        <v>18</v>
      </c>
      <c r="E7" s="2" t="s">
        <v>43</v>
      </c>
      <c r="F7" s="2">
        <v>180</v>
      </c>
      <c r="G7" s="2" t="s">
        <v>44</v>
      </c>
      <c r="H7" s="2" t="s">
        <v>45</v>
      </c>
      <c r="J7" s="5" t="s">
        <v>11</v>
      </c>
      <c r="K7">
        <v>5</v>
      </c>
    </row>
    <row r="8" spans="1:11" ht="15.75" thickBot="1" x14ac:dyDescent="0.3">
      <c r="A8" s="1" t="s">
        <v>46</v>
      </c>
      <c r="B8" s="2" t="s">
        <v>47</v>
      </c>
      <c r="C8" s="2" t="s">
        <v>10</v>
      </c>
      <c r="D8" s="2" t="s">
        <v>25</v>
      </c>
      <c r="E8" s="2" t="s">
        <v>48</v>
      </c>
      <c r="F8" s="2">
        <v>890</v>
      </c>
      <c r="G8" s="2" t="s">
        <v>49</v>
      </c>
      <c r="H8" s="2" t="s">
        <v>50</v>
      </c>
      <c r="J8" s="5" t="s">
        <v>91</v>
      </c>
      <c r="K8">
        <v>15</v>
      </c>
    </row>
    <row r="9" spans="1:11" ht="15.75" thickBot="1" x14ac:dyDescent="0.3">
      <c r="A9" s="1" t="s">
        <v>51</v>
      </c>
      <c r="B9" s="2" t="s">
        <v>52</v>
      </c>
      <c r="C9" s="2" t="s">
        <v>37</v>
      </c>
      <c r="D9" s="2" t="s">
        <v>11</v>
      </c>
      <c r="E9" s="2" t="s">
        <v>53</v>
      </c>
      <c r="F9" s="2">
        <v>540</v>
      </c>
      <c r="G9" s="2" t="s">
        <v>54</v>
      </c>
      <c r="H9" s="2" t="s">
        <v>55</v>
      </c>
    </row>
    <row r="10" spans="1:11" ht="15.75" thickBot="1" x14ac:dyDescent="0.3">
      <c r="A10" s="1" t="s">
        <v>56</v>
      </c>
      <c r="B10" s="2" t="s">
        <v>57</v>
      </c>
      <c r="C10" s="2" t="s">
        <v>17</v>
      </c>
      <c r="D10" s="2" t="s">
        <v>58</v>
      </c>
      <c r="E10" s="2" t="s">
        <v>59</v>
      </c>
      <c r="F10" s="2">
        <v>65</v>
      </c>
      <c r="G10" s="2" t="s">
        <v>60</v>
      </c>
      <c r="H10" s="2" t="s">
        <v>61</v>
      </c>
    </row>
    <row r="11" spans="1:11" ht="15.75" thickBot="1" x14ac:dyDescent="0.3">
      <c r="A11" s="1" t="s">
        <v>62</v>
      </c>
      <c r="B11" s="2" t="s">
        <v>63</v>
      </c>
      <c r="C11" s="2" t="s">
        <v>24</v>
      </c>
      <c r="D11" s="2" t="s">
        <v>31</v>
      </c>
      <c r="E11" s="2" t="s">
        <v>64</v>
      </c>
      <c r="F11" s="2">
        <v>920</v>
      </c>
      <c r="G11" s="2" t="s">
        <v>65</v>
      </c>
      <c r="H11" s="2" t="s">
        <v>66</v>
      </c>
    </row>
    <row r="12" spans="1:11" ht="15.75" thickBot="1" x14ac:dyDescent="0.3">
      <c r="A12" s="1" t="s">
        <v>67</v>
      </c>
      <c r="B12" s="2" t="s">
        <v>68</v>
      </c>
      <c r="C12" s="2" t="s">
        <v>69</v>
      </c>
      <c r="D12" s="2" t="s">
        <v>18</v>
      </c>
      <c r="E12" s="2" t="s">
        <v>70</v>
      </c>
      <c r="F12" s="2">
        <v>340</v>
      </c>
      <c r="G12" s="2" t="s">
        <v>71</v>
      </c>
      <c r="H12" s="2" t="s">
        <v>72</v>
      </c>
    </row>
    <row r="13" spans="1:11" ht="15.75" thickBot="1" x14ac:dyDescent="0.3">
      <c r="A13" s="1" t="s">
        <v>73</v>
      </c>
      <c r="B13" s="2" t="s">
        <v>74</v>
      </c>
      <c r="C13" s="2" t="s">
        <v>10</v>
      </c>
      <c r="D13" s="2" t="s">
        <v>11</v>
      </c>
      <c r="E13" s="2" t="s">
        <v>75</v>
      </c>
      <c r="F13" s="3">
        <v>1200</v>
      </c>
      <c r="G13" s="2" t="s">
        <v>13</v>
      </c>
      <c r="H13" s="2" t="s">
        <v>76</v>
      </c>
    </row>
    <row r="14" spans="1:11" ht="15.75" thickBot="1" x14ac:dyDescent="0.3">
      <c r="A14" s="1" t="s">
        <v>77</v>
      </c>
      <c r="B14" s="2" t="s">
        <v>78</v>
      </c>
      <c r="C14" s="2" t="s">
        <v>17</v>
      </c>
      <c r="D14" s="2" t="s">
        <v>25</v>
      </c>
      <c r="E14" s="2" t="s">
        <v>28</v>
      </c>
      <c r="F14" s="2">
        <v>780</v>
      </c>
      <c r="G14" s="2" t="s">
        <v>79</v>
      </c>
      <c r="H14" s="2" t="s">
        <v>80</v>
      </c>
    </row>
    <row r="15" spans="1:11" ht="15.75" thickBot="1" x14ac:dyDescent="0.3">
      <c r="A15" s="1" t="s">
        <v>81</v>
      </c>
      <c r="B15" s="2" t="s">
        <v>82</v>
      </c>
      <c r="C15" s="2" t="s">
        <v>37</v>
      </c>
      <c r="D15" s="2" t="s">
        <v>31</v>
      </c>
      <c r="E15" s="2" t="s">
        <v>83</v>
      </c>
      <c r="F15" s="2">
        <v>410</v>
      </c>
      <c r="G15" s="2" t="s">
        <v>84</v>
      </c>
      <c r="H15" s="2" t="s">
        <v>85</v>
      </c>
    </row>
    <row r="16" spans="1:11" ht="29.25" thickBot="1" x14ac:dyDescent="0.3">
      <c r="A16" s="1" t="s">
        <v>86</v>
      </c>
      <c r="B16" s="2" t="s">
        <v>87</v>
      </c>
      <c r="C16" s="2" t="s">
        <v>24</v>
      </c>
      <c r="D16" s="2" t="s">
        <v>11</v>
      </c>
      <c r="E16" s="2" t="s">
        <v>34</v>
      </c>
      <c r="F16" s="3">
        <v>1100</v>
      </c>
      <c r="G16" s="2" t="s">
        <v>88</v>
      </c>
      <c r="H16" s="2" t="s">
        <v>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31FD4-2F10-4FFC-82AC-A6A20BAACD63}">
  <sheetPr codeName="Sheet4"/>
  <dimension ref="A1:O6"/>
  <sheetViews>
    <sheetView zoomScaleNormal="100" workbookViewId="0">
      <selection activeCell="O2" sqref="O2"/>
    </sheetView>
  </sheetViews>
  <sheetFormatPr defaultRowHeight="15" x14ac:dyDescent="0.25"/>
  <cols>
    <col min="1" max="1" width="13.5703125" customWidth="1"/>
    <col min="2" max="2" width="15.42578125" customWidth="1"/>
    <col min="3" max="3" width="14.85546875" customWidth="1"/>
    <col min="4" max="5" width="10.85546875" customWidth="1"/>
    <col min="6" max="6" width="9.7109375" customWidth="1"/>
    <col min="9" max="9" width="13.5703125" customWidth="1"/>
    <col min="13" max="13" width="14.42578125" customWidth="1"/>
  </cols>
  <sheetData>
    <row r="1" spans="1:15" ht="30.75" thickBot="1" x14ac:dyDescent="0.3">
      <c r="A1" s="1" t="s">
        <v>94</v>
      </c>
      <c r="B1" s="1" t="s">
        <v>95</v>
      </c>
      <c r="C1" s="1" t="s">
        <v>96</v>
      </c>
      <c r="D1" s="1" t="s">
        <v>97</v>
      </c>
      <c r="E1" s="1" t="s">
        <v>98</v>
      </c>
      <c r="F1" s="1" t="s">
        <v>99</v>
      </c>
      <c r="G1" s="6" t="s">
        <v>110</v>
      </c>
      <c r="I1" s="7" t="s">
        <v>111</v>
      </c>
      <c r="K1" s="8" t="s">
        <v>112</v>
      </c>
      <c r="L1" s="8"/>
      <c r="M1" s="8" t="s">
        <v>114</v>
      </c>
      <c r="O1" s="8" t="s">
        <v>113</v>
      </c>
    </row>
    <row r="2" spans="1:15" ht="15.75" thickBot="1" x14ac:dyDescent="0.3">
      <c r="A2" s="1" t="s">
        <v>100</v>
      </c>
      <c r="B2" s="2" t="s">
        <v>101</v>
      </c>
      <c r="C2" s="2">
        <v>88</v>
      </c>
      <c r="D2" s="2">
        <v>92</v>
      </c>
      <c r="E2" s="2">
        <v>85</v>
      </c>
      <c r="F2" s="2">
        <v>90</v>
      </c>
      <c r="G2">
        <f>SUM(C2:F2)</f>
        <v>355</v>
      </c>
      <c r="I2" t="e">
        <f ca="1">XLOOKUP(I3,G2:G6,B2:B6)</f>
        <v>#NAME?</v>
      </c>
      <c r="K2">
        <f>MATCH(K3,A2:A6,0)</f>
        <v>5</v>
      </c>
      <c r="M2">
        <f>INDEX(G2:G6,MATCH(M3,A2:A6,0))</f>
        <v>355</v>
      </c>
      <c r="O2">
        <f>INDEX(G2:G6,2)</f>
        <v>310</v>
      </c>
    </row>
    <row r="3" spans="1:15" ht="15.75" thickBot="1" x14ac:dyDescent="0.3">
      <c r="A3" s="1" t="s">
        <v>102</v>
      </c>
      <c r="B3" s="2" t="s">
        <v>103</v>
      </c>
      <c r="C3" s="2">
        <v>76</v>
      </c>
      <c r="D3" s="2">
        <v>81</v>
      </c>
      <c r="E3" s="2">
        <v>79</v>
      </c>
      <c r="F3" s="2">
        <v>74</v>
      </c>
      <c r="G3">
        <f t="shared" ref="G3:G6" si="0">SUM(C3:F3)</f>
        <v>310</v>
      </c>
      <c r="I3">
        <v>355</v>
      </c>
      <c r="K3" t="s">
        <v>108</v>
      </c>
      <c r="M3" t="s">
        <v>100</v>
      </c>
    </row>
    <row r="4" spans="1:15" ht="29.25" thickBot="1" x14ac:dyDescent="0.3">
      <c r="A4" s="1" t="s">
        <v>104</v>
      </c>
      <c r="B4" s="2" t="s">
        <v>105</v>
      </c>
      <c r="C4" s="2">
        <v>95</v>
      </c>
      <c r="D4" s="2">
        <v>89</v>
      </c>
      <c r="E4" s="2">
        <v>94</v>
      </c>
      <c r="F4" s="2">
        <v>91</v>
      </c>
      <c r="G4">
        <f t="shared" si="0"/>
        <v>369</v>
      </c>
    </row>
    <row r="5" spans="1:15" ht="15.75" thickBot="1" x14ac:dyDescent="0.3">
      <c r="A5" s="1" t="s">
        <v>106</v>
      </c>
      <c r="B5" s="2" t="s">
        <v>107</v>
      </c>
      <c r="C5" s="2">
        <v>65</v>
      </c>
      <c r="D5" s="2">
        <v>70</v>
      </c>
      <c r="E5" s="2">
        <v>82</v>
      </c>
      <c r="F5" s="2">
        <v>78</v>
      </c>
      <c r="G5">
        <f t="shared" si="0"/>
        <v>295</v>
      </c>
    </row>
    <row r="6" spans="1:15" ht="15.75" thickBot="1" x14ac:dyDescent="0.3">
      <c r="A6" s="1" t="s">
        <v>108</v>
      </c>
      <c r="B6" s="2" t="s">
        <v>109</v>
      </c>
      <c r="C6" s="2">
        <v>90</v>
      </c>
      <c r="D6" s="2">
        <v>94</v>
      </c>
      <c r="E6" s="2">
        <v>88</v>
      </c>
      <c r="F6" s="2">
        <v>95</v>
      </c>
      <c r="G6">
        <f t="shared" si="0"/>
        <v>367</v>
      </c>
    </row>
  </sheetData>
  <conditionalFormatting sqref="C2:F6">
    <cfRule type="cellIs" dxfId="6" priority="1" operator="lessThan">
      <formula>80</formula>
    </cfRule>
    <cfRule type="cellIs" dxfId="5" priority="2" operator="between">
      <formula>80</formula>
      <formula>90</formula>
    </cfRule>
    <cfRule type="cellIs" dxfId="4" priority="3" operator="greaterThan">
      <formula>90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44A4-7613-43DE-AF55-262780B123D4}">
  <sheetPr codeName="Sheet5"/>
  <dimension ref="A1:P16"/>
  <sheetViews>
    <sheetView zoomScaleNormal="100" workbookViewId="0">
      <selection activeCell="A9" sqref="A9:A15"/>
    </sheetView>
  </sheetViews>
  <sheetFormatPr defaultRowHeight="15" x14ac:dyDescent="0.25"/>
  <cols>
    <col min="1" max="1" width="14.5703125" customWidth="1"/>
  </cols>
  <sheetData>
    <row r="1" spans="1:16" x14ac:dyDescent="0.25">
      <c r="A1" s="8" t="s">
        <v>95</v>
      </c>
      <c r="B1">
        <v>1</v>
      </c>
      <c r="C1">
        <v>2</v>
      </c>
      <c r="D1">
        <v>3</v>
      </c>
      <c r="E1">
        <v>4</v>
      </c>
      <c r="F1">
        <v>5</v>
      </c>
      <c r="G1">
        <v>6</v>
      </c>
      <c r="H1">
        <v>7</v>
      </c>
      <c r="I1">
        <v>8</v>
      </c>
      <c r="J1">
        <v>9</v>
      </c>
      <c r="K1">
        <v>10</v>
      </c>
      <c r="L1">
        <v>11</v>
      </c>
      <c r="M1">
        <v>12</v>
      </c>
      <c r="N1">
        <v>13</v>
      </c>
      <c r="O1">
        <v>14</v>
      </c>
      <c r="P1">
        <v>15</v>
      </c>
    </row>
    <row r="2" spans="1:16" x14ac:dyDescent="0.25">
      <c r="A2" t="s">
        <v>115</v>
      </c>
      <c r="B2" t="s">
        <v>130</v>
      </c>
      <c r="C2" t="s">
        <v>131</v>
      </c>
      <c r="D2" t="s">
        <v>131</v>
      </c>
      <c r="E2" t="s">
        <v>130</v>
      </c>
      <c r="F2" t="s">
        <v>131</v>
      </c>
      <c r="G2" t="s">
        <v>130</v>
      </c>
      <c r="H2" t="s">
        <v>131</v>
      </c>
      <c r="I2" t="s">
        <v>131</v>
      </c>
      <c r="J2" t="s">
        <v>131</v>
      </c>
      <c r="K2" t="s">
        <v>131</v>
      </c>
      <c r="L2" t="s">
        <v>131</v>
      </c>
      <c r="M2" t="s">
        <v>131</v>
      </c>
      <c r="N2" t="s">
        <v>130</v>
      </c>
      <c r="O2" t="s">
        <v>130</v>
      </c>
      <c r="P2" t="s">
        <v>131</v>
      </c>
    </row>
    <row r="3" spans="1:16" x14ac:dyDescent="0.25">
      <c r="A3" t="s">
        <v>116</v>
      </c>
      <c r="B3" t="s">
        <v>131</v>
      </c>
      <c r="C3" t="s">
        <v>131</v>
      </c>
      <c r="D3" t="s">
        <v>131</v>
      </c>
      <c r="E3" t="s">
        <v>131</v>
      </c>
      <c r="F3" t="s">
        <v>130</v>
      </c>
      <c r="G3" t="s">
        <v>131</v>
      </c>
      <c r="H3" t="s">
        <v>131</v>
      </c>
      <c r="I3" t="s">
        <v>131</v>
      </c>
      <c r="J3" t="s">
        <v>131</v>
      </c>
      <c r="K3" t="s">
        <v>131</v>
      </c>
      <c r="L3" t="s">
        <v>130</v>
      </c>
      <c r="M3" t="s">
        <v>131</v>
      </c>
      <c r="N3" t="s">
        <v>131</v>
      </c>
      <c r="O3" t="s">
        <v>131</v>
      </c>
      <c r="P3" t="s">
        <v>131</v>
      </c>
    </row>
    <row r="4" spans="1:16" x14ac:dyDescent="0.25">
      <c r="A4" t="s">
        <v>117</v>
      </c>
      <c r="B4" t="s">
        <v>131</v>
      </c>
      <c r="C4" t="s">
        <v>131</v>
      </c>
      <c r="D4" t="s">
        <v>131</v>
      </c>
      <c r="E4" t="s">
        <v>131</v>
      </c>
      <c r="F4" t="s">
        <v>131</v>
      </c>
      <c r="G4" t="s">
        <v>131</v>
      </c>
      <c r="H4" t="s">
        <v>131</v>
      </c>
      <c r="I4" t="s">
        <v>131</v>
      </c>
      <c r="J4" t="s">
        <v>130</v>
      </c>
      <c r="K4" t="s">
        <v>131</v>
      </c>
      <c r="L4" t="s">
        <v>131</v>
      </c>
      <c r="M4" t="s">
        <v>131</v>
      </c>
      <c r="N4" t="s">
        <v>131</v>
      </c>
      <c r="O4" t="s">
        <v>131</v>
      </c>
      <c r="P4" t="s">
        <v>130</v>
      </c>
    </row>
    <row r="5" spans="1:16" x14ac:dyDescent="0.25">
      <c r="A5" t="s">
        <v>118</v>
      </c>
      <c r="B5" t="s">
        <v>131</v>
      </c>
      <c r="C5" t="s">
        <v>130</v>
      </c>
      <c r="D5" t="s">
        <v>131</v>
      </c>
      <c r="E5" t="s">
        <v>130</v>
      </c>
      <c r="F5" t="s">
        <v>131</v>
      </c>
      <c r="G5" t="s">
        <v>131</v>
      </c>
      <c r="H5" t="s">
        <v>130</v>
      </c>
      <c r="I5" t="s">
        <v>131</v>
      </c>
      <c r="J5" t="s">
        <v>130</v>
      </c>
      <c r="K5" t="s">
        <v>131</v>
      </c>
      <c r="L5" t="s">
        <v>131</v>
      </c>
      <c r="M5" t="s">
        <v>131</v>
      </c>
      <c r="N5" t="s">
        <v>131</v>
      </c>
      <c r="O5" t="s">
        <v>131</v>
      </c>
      <c r="P5" t="s">
        <v>131</v>
      </c>
    </row>
    <row r="6" spans="1:16" x14ac:dyDescent="0.25">
      <c r="A6" t="s">
        <v>119</v>
      </c>
      <c r="B6" t="s">
        <v>131</v>
      </c>
      <c r="C6" t="s">
        <v>131</v>
      </c>
      <c r="D6" t="s">
        <v>131</v>
      </c>
      <c r="E6" t="s">
        <v>131</v>
      </c>
      <c r="F6" t="s">
        <v>131</v>
      </c>
      <c r="G6" t="s">
        <v>131</v>
      </c>
      <c r="H6" t="s">
        <v>131</v>
      </c>
      <c r="I6" t="s">
        <v>131</v>
      </c>
      <c r="J6" t="s">
        <v>130</v>
      </c>
      <c r="K6" t="s">
        <v>130</v>
      </c>
      <c r="L6" t="s">
        <v>131</v>
      </c>
      <c r="M6" t="s">
        <v>131</v>
      </c>
      <c r="N6" t="s">
        <v>131</v>
      </c>
      <c r="O6" t="s">
        <v>131</v>
      </c>
      <c r="P6" t="s">
        <v>131</v>
      </c>
    </row>
    <row r="7" spans="1:16" x14ac:dyDescent="0.25">
      <c r="A7" t="s">
        <v>120</v>
      </c>
      <c r="B7" t="s">
        <v>130</v>
      </c>
      <c r="C7" t="s">
        <v>131</v>
      </c>
      <c r="D7" t="s">
        <v>131</v>
      </c>
      <c r="E7" t="s">
        <v>130</v>
      </c>
      <c r="F7" t="s">
        <v>131</v>
      </c>
      <c r="G7" t="s">
        <v>131</v>
      </c>
      <c r="H7" t="s">
        <v>131</v>
      </c>
      <c r="I7" t="s">
        <v>131</v>
      </c>
      <c r="J7" t="s">
        <v>131</v>
      </c>
      <c r="K7" t="s">
        <v>131</v>
      </c>
      <c r="L7" t="s">
        <v>131</v>
      </c>
      <c r="M7" t="s">
        <v>130</v>
      </c>
      <c r="N7" t="s">
        <v>130</v>
      </c>
      <c r="O7" t="s">
        <v>131</v>
      </c>
      <c r="P7" t="s">
        <v>131</v>
      </c>
    </row>
    <row r="8" spans="1:16" x14ac:dyDescent="0.25">
      <c r="A8" t="s">
        <v>121</v>
      </c>
      <c r="B8" t="s">
        <v>131</v>
      </c>
      <c r="C8" t="s">
        <v>131</v>
      </c>
      <c r="D8" t="s">
        <v>131</v>
      </c>
      <c r="E8" t="s">
        <v>131</v>
      </c>
      <c r="F8" t="s">
        <v>131</v>
      </c>
      <c r="G8" t="s">
        <v>131</v>
      </c>
      <c r="H8" t="s">
        <v>131</v>
      </c>
      <c r="I8" t="s">
        <v>131</v>
      </c>
      <c r="J8" t="s">
        <v>131</v>
      </c>
      <c r="K8" t="s">
        <v>131</v>
      </c>
      <c r="L8" t="s">
        <v>131</v>
      </c>
      <c r="M8" t="s">
        <v>131</v>
      </c>
      <c r="N8" t="s">
        <v>131</v>
      </c>
      <c r="O8" t="s">
        <v>131</v>
      </c>
      <c r="P8" t="s">
        <v>131</v>
      </c>
    </row>
    <row r="9" spans="1:16" x14ac:dyDescent="0.25">
      <c r="A9" t="s">
        <v>122</v>
      </c>
      <c r="B9" t="s">
        <v>131</v>
      </c>
      <c r="C9" t="s">
        <v>131</v>
      </c>
      <c r="D9" t="s">
        <v>130</v>
      </c>
      <c r="E9" t="s">
        <v>131</v>
      </c>
      <c r="F9" t="s">
        <v>131</v>
      </c>
      <c r="G9" t="s">
        <v>130</v>
      </c>
      <c r="H9" t="s">
        <v>130</v>
      </c>
      <c r="I9" t="s">
        <v>131</v>
      </c>
      <c r="J9" t="s">
        <v>130</v>
      </c>
      <c r="K9" t="s">
        <v>131</v>
      </c>
      <c r="L9" t="s">
        <v>131</v>
      </c>
      <c r="M9" t="s">
        <v>131</v>
      </c>
      <c r="N9" t="s">
        <v>130</v>
      </c>
      <c r="O9" t="s">
        <v>131</v>
      </c>
      <c r="P9" t="s">
        <v>131</v>
      </c>
    </row>
    <row r="10" spans="1:16" x14ac:dyDescent="0.25">
      <c r="A10" t="s">
        <v>123</v>
      </c>
      <c r="B10" t="s">
        <v>131</v>
      </c>
      <c r="C10" t="s">
        <v>131</v>
      </c>
      <c r="D10" t="s">
        <v>131</v>
      </c>
      <c r="E10" t="s">
        <v>131</v>
      </c>
      <c r="F10" t="s">
        <v>131</v>
      </c>
      <c r="G10" t="s">
        <v>131</v>
      </c>
      <c r="H10" t="s">
        <v>131</v>
      </c>
      <c r="I10" t="s">
        <v>131</v>
      </c>
      <c r="J10" t="s">
        <v>131</v>
      </c>
      <c r="K10" t="s">
        <v>131</v>
      </c>
      <c r="L10" t="s">
        <v>131</v>
      </c>
      <c r="M10" t="s">
        <v>131</v>
      </c>
      <c r="N10" t="s">
        <v>131</v>
      </c>
      <c r="O10" t="s">
        <v>131</v>
      </c>
      <c r="P10" t="s">
        <v>130</v>
      </c>
    </row>
    <row r="11" spans="1:16" x14ac:dyDescent="0.25">
      <c r="A11" t="s">
        <v>124</v>
      </c>
      <c r="B11" t="s">
        <v>130</v>
      </c>
      <c r="C11" t="s">
        <v>131</v>
      </c>
      <c r="D11" t="s">
        <v>131</v>
      </c>
      <c r="E11" t="s">
        <v>130</v>
      </c>
      <c r="F11" t="s">
        <v>131</v>
      </c>
      <c r="G11" t="s">
        <v>131</v>
      </c>
      <c r="H11" t="s">
        <v>131</v>
      </c>
      <c r="I11" t="s">
        <v>131</v>
      </c>
      <c r="J11" t="s">
        <v>131</v>
      </c>
      <c r="K11" t="s">
        <v>131</v>
      </c>
      <c r="L11" t="s">
        <v>130</v>
      </c>
      <c r="M11" t="s">
        <v>131</v>
      </c>
      <c r="N11" t="s">
        <v>131</v>
      </c>
      <c r="O11" t="s">
        <v>130</v>
      </c>
      <c r="P11" t="s">
        <v>131</v>
      </c>
    </row>
    <row r="12" spans="1:16" x14ac:dyDescent="0.25">
      <c r="A12" t="s">
        <v>125</v>
      </c>
      <c r="B12" t="s">
        <v>131</v>
      </c>
      <c r="C12" t="s">
        <v>130</v>
      </c>
      <c r="D12" t="s">
        <v>131</v>
      </c>
      <c r="E12" t="s">
        <v>131</v>
      </c>
      <c r="F12" t="s">
        <v>131</v>
      </c>
      <c r="G12" t="s">
        <v>130</v>
      </c>
      <c r="H12" t="s">
        <v>131</v>
      </c>
      <c r="I12" t="s">
        <v>130</v>
      </c>
      <c r="J12" t="s">
        <v>131</v>
      </c>
      <c r="K12" t="s">
        <v>131</v>
      </c>
      <c r="L12" t="s">
        <v>131</v>
      </c>
      <c r="M12" t="s">
        <v>131</v>
      </c>
      <c r="N12" t="s">
        <v>131</v>
      </c>
      <c r="O12" t="s">
        <v>131</v>
      </c>
      <c r="P12" t="s">
        <v>130</v>
      </c>
    </row>
    <row r="13" spans="1:16" x14ac:dyDescent="0.25">
      <c r="A13" t="s">
        <v>126</v>
      </c>
      <c r="B13" t="s">
        <v>131</v>
      </c>
      <c r="C13" t="s">
        <v>131</v>
      </c>
      <c r="D13" t="s">
        <v>131</v>
      </c>
      <c r="E13" t="s">
        <v>130</v>
      </c>
      <c r="F13" t="s">
        <v>131</v>
      </c>
      <c r="G13" t="s">
        <v>131</v>
      </c>
      <c r="H13" t="s">
        <v>131</v>
      </c>
      <c r="I13" t="s">
        <v>131</v>
      </c>
      <c r="J13" t="s">
        <v>130</v>
      </c>
      <c r="K13" t="s">
        <v>131</v>
      </c>
      <c r="L13" t="s">
        <v>131</v>
      </c>
      <c r="M13" t="s">
        <v>131</v>
      </c>
      <c r="N13" t="s">
        <v>130</v>
      </c>
      <c r="O13" t="s">
        <v>131</v>
      </c>
      <c r="P13" t="s">
        <v>131</v>
      </c>
    </row>
    <row r="14" spans="1:16" x14ac:dyDescent="0.25">
      <c r="A14" t="s">
        <v>127</v>
      </c>
      <c r="B14" t="s">
        <v>131</v>
      </c>
      <c r="C14" t="s">
        <v>131</v>
      </c>
      <c r="D14" t="s">
        <v>131</v>
      </c>
      <c r="E14" t="s">
        <v>131</v>
      </c>
      <c r="F14" t="s">
        <v>131</v>
      </c>
      <c r="G14" t="s">
        <v>131</v>
      </c>
      <c r="H14" t="s">
        <v>131</v>
      </c>
      <c r="I14" t="s">
        <v>131</v>
      </c>
      <c r="J14" t="s">
        <v>131</v>
      </c>
      <c r="K14" t="s">
        <v>131</v>
      </c>
      <c r="L14" t="s">
        <v>131</v>
      </c>
      <c r="M14" t="s">
        <v>131</v>
      </c>
      <c r="N14" t="s">
        <v>131</v>
      </c>
      <c r="O14" t="s">
        <v>131</v>
      </c>
      <c r="P14" t="s">
        <v>130</v>
      </c>
    </row>
    <row r="15" spans="1:16" x14ac:dyDescent="0.25">
      <c r="A15" t="s">
        <v>128</v>
      </c>
      <c r="B15" t="s">
        <v>131</v>
      </c>
      <c r="C15" t="s">
        <v>130</v>
      </c>
      <c r="D15" t="s">
        <v>131</v>
      </c>
      <c r="E15" t="s">
        <v>131</v>
      </c>
      <c r="F15" t="s">
        <v>131</v>
      </c>
      <c r="G15" t="s">
        <v>130</v>
      </c>
      <c r="H15" t="s">
        <v>131</v>
      </c>
      <c r="I15" t="s">
        <v>131</v>
      </c>
      <c r="J15" t="s">
        <v>130</v>
      </c>
      <c r="K15" t="s">
        <v>131</v>
      </c>
      <c r="L15" t="s">
        <v>130</v>
      </c>
      <c r="M15" t="s">
        <v>131</v>
      </c>
      <c r="N15" t="s">
        <v>131</v>
      </c>
      <c r="O15" t="s">
        <v>131</v>
      </c>
      <c r="P15" t="s">
        <v>131</v>
      </c>
    </row>
    <row r="16" spans="1:16" x14ac:dyDescent="0.25">
      <c r="A16" t="s">
        <v>129</v>
      </c>
      <c r="B16" t="s">
        <v>131</v>
      </c>
      <c r="C16" t="s">
        <v>131</v>
      </c>
      <c r="D16" t="s">
        <v>131</v>
      </c>
      <c r="E16" t="s">
        <v>131</v>
      </c>
      <c r="F16" t="s">
        <v>131</v>
      </c>
      <c r="G16" t="s">
        <v>131</v>
      </c>
      <c r="H16" t="s">
        <v>131</v>
      </c>
      <c r="I16" t="s">
        <v>131</v>
      </c>
      <c r="J16" t="s">
        <v>131</v>
      </c>
      <c r="K16" t="s">
        <v>131</v>
      </c>
      <c r="L16" t="s">
        <v>131</v>
      </c>
      <c r="M16" t="s">
        <v>131</v>
      </c>
      <c r="N16" t="s">
        <v>131</v>
      </c>
      <c r="O16" t="s">
        <v>131</v>
      </c>
      <c r="P16" t="s">
        <v>131</v>
      </c>
    </row>
  </sheetData>
  <conditionalFormatting sqref="B2:P16">
    <cfRule type="cellIs" dxfId="3" priority="1" operator="equal">
      <formula>"P"</formula>
    </cfRule>
    <cfRule type="cellIs" dxfId="2" priority="2" operator="equal">
      <formula>"A"</formula>
    </cfRule>
  </conditionalFormatting>
  <dataValidations count="1">
    <dataValidation type="list" allowBlank="1" showInputMessage="1" showErrorMessage="1" sqref="B2:P16" xr:uid="{73B3CDA4-C9DA-46BC-AEEC-677D8C903977}">
      <formula1>"P,A"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B2A91-240D-4B7E-8B2E-561CB6FF1FB0}">
  <sheetPr codeName="Sheet6"/>
  <dimension ref="A1:E8"/>
  <sheetViews>
    <sheetView workbookViewId="0">
      <selection activeCell="F3" sqref="F3"/>
    </sheetView>
  </sheetViews>
  <sheetFormatPr defaultRowHeight="15" x14ac:dyDescent="0.25"/>
  <cols>
    <col min="4" max="4" width="12.42578125" customWidth="1"/>
  </cols>
  <sheetData>
    <row r="1" spans="1:5" x14ac:dyDescent="0.25">
      <c r="A1" t="s">
        <v>132</v>
      </c>
      <c r="B1" t="s">
        <v>133</v>
      </c>
      <c r="D1" t="s">
        <v>134</v>
      </c>
      <c r="E1" t="s">
        <v>135</v>
      </c>
    </row>
    <row r="2" spans="1:5" x14ac:dyDescent="0.25">
      <c r="A2" t="s">
        <v>115</v>
      </c>
      <c r="B2" t="s">
        <v>122</v>
      </c>
      <c r="D2" t="s">
        <v>133</v>
      </c>
      <c r="E2" t="s">
        <v>126</v>
      </c>
    </row>
    <row r="3" spans="1:5" x14ac:dyDescent="0.25">
      <c r="A3" t="s">
        <v>116</v>
      </c>
      <c r="B3" t="s">
        <v>123</v>
      </c>
    </row>
    <row r="4" spans="1:5" x14ac:dyDescent="0.25">
      <c r="A4" t="s">
        <v>117</v>
      </c>
      <c r="B4" t="s">
        <v>124</v>
      </c>
    </row>
    <row r="5" spans="1:5" x14ac:dyDescent="0.25">
      <c r="A5" t="s">
        <v>118</v>
      </c>
      <c r="B5" t="s">
        <v>125</v>
      </c>
    </row>
    <row r="6" spans="1:5" x14ac:dyDescent="0.25">
      <c r="A6" t="s">
        <v>119</v>
      </c>
      <c r="B6" t="s">
        <v>126</v>
      </c>
    </row>
    <row r="7" spans="1:5" x14ac:dyDescent="0.25">
      <c r="A7" t="s">
        <v>120</v>
      </c>
      <c r="B7" t="s">
        <v>127</v>
      </c>
    </row>
    <row r="8" spans="1:5" x14ac:dyDescent="0.25">
      <c r="A8" t="s">
        <v>121</v>
      </c>
      <c r="B8" t="s">
        <v>128</v>
      </c>
    </row>
  </sheetData>
  <conditionalFormatting sqref="A1:B8">
    <cfRule type="expression" dxfId="1" priority="1">
      <formula>A1&lt;&gt;""</formula>
    </cfRule>
  </conditionalFormatting>
  <dataValidations count="2">
    <dataValidation type="list" allowBlank="1" showInputMessage="1" showErrorMessage="1" sqref="D2" xr:uid="{4D1C6208-CE91-432A-955E-CD79AB4256A6}">
      <formula1>"CA,CB"</formula1>
    </dataValidation>
    <dataValidation type="list" allowBlank="1" showInputMessage="1" showErrorMessage="1" sqref="E2" xr:uid="{5EED0C84-EDD6-49D9-9D81-3AE96B269FC7}">
      <formula1>INDIRECT($D$2)</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9C10-9956-4F3D-8046-4CB420DEC14A}">
  <dimension ref="A1:G10"/>
  <sheetViews>
    <sheetView tabSelected="1" workbookViewId="0">
      <selection activeCell="I9" sqref="I9"/>
    </sheetView>
  </sheetViews>
  <sheetFormatPr defaultRowHeight="15" x14ac:dyDescent="0.25"/>
  <cols>
    <col min="1" max="3" width="10.42578125" bestFit="1" customWidth="1"/>
    <col min="4" max="4" width="11" customWidth="1"/>
    <col min="5" max="5" width="11.7109375" customWidth="1"/>
    <col min="6" max="7" width="11.140625" customWidth="1"/>
  </cols>
  <sheetData>
    <row r="1" spans="1:7" x14ac:dyDescent="0.25">
      <c r="A1" t="s">
        <v>136</v>
      </c>
      <c r="B1">
        <v>8</v>
      </c>
    </row>
    <row r="2" spans="1:7" x14ac:dyDescent="0.25">
      <c r="A2" t="s">
        <v>137</v>
      </c>
      <c r="B2">
        <v>2026</v>
      </c>
    </row>
    <row r="4" spans="1:7" ht="15.75" x14ac:dyDescent="0.25">
      <c r="A4" s="10" t="s">
        <v>138</v>
      </c>
      <c r="B4" s="10" t="s">
        <v>139</v>
      </c>
      <c r="C4" s="10" t="s">
        <v>140</v>
      </c>
      <c r="D4" s="10" t="s">
        <v>141</v>
      </c>
      <c r="E4" s="10" t="s">
        <v>142</v>
      </c>
      <c r="F4" s="10" t="s">
        <v>143</v>
      </c>
      <c r="G4" s="10" t="s">
        <v>144</v>
      </c>
    </row>
    <row r="5" spans="1:7" x14ac:dyDescent="0.25">
      <c r="A5" s="9">
        <f>DATE(B2,B1,1)-WEEKDAY(DATE(B2,B1,1),1)+1</f>
        <v>46229</v>
      </c>
      <c r="B5" s="9">
        <f>A5+1</f>
        <v>46230</v>
      </c>
      <c r="C5" s="9">
        <f>B5+1</f>
        <v>46231</v>
      </c>
      <c r="D5" s="9">
        <f>C5+1</f>
        <v>46232</v>
      </c>
      <c r="E5" s="9">
        <f t="shared" ref="E5:G5" si="0">D5+1</f>
        <v>46233</v>
      </c>
      <c r="F5" s="9">
        <f t="shared" si="0"/>
        <v>46234</v>
      </c>
      <c r="G5" s="9">
        <f t="shared" si="0"/>
        <v>46235</v>
      </c>
    </row>
    <row r="6" spans="1:7" x14ac:dyDescent="0.25">
      <c r="A6" s="9">
        <f>G5+1</f>
        <v>46236</v>
      </c>
      <c r="B6" s="9">
        <f>A6+1</f>
        <v>46237</v>
      </c>
      <c r="C6" s="9">
        <f t="shared" ref="C6:G6" si="1">B6+1</f>
        <v>46238</v>
      </c>
      <c r="D6" s="9">
        <f t="shared" si="1"/>
        <v>46239</v>
      </c>
      <c r="E6" s="9">
        <f t="shared" si="1"/>
        <v>46240</v>
      </c>
      <c r="F6" s="9">
        <f t="shared" si="1"/>
        <v>46241</v>
      </c>
      <c r="G6" s="9">
        <f t="shared" si="1"/>
        <v>46242</v>
      </c>
    </row>
    <row r="7" spans="1:7" x14ac:dyDescent="0.25">
      <c r="A7" s="9">
        <f t="shared" ref="A7:A10" si="2">G6+1</f>
        <v>46243</v>
      </c>
      <c r="B7" s="9">
        <f t="shared" ref="B7:G7" si="3">A7+1</f>
        <v>46244</v>
      </c>
      <c r="C7" s="9">
        <f t="shared" si="3"/>
        <v>46245</v>
      </c>
      <c r="D7" s="9">
        <f t="shared" si="3"/>
        <v>46246</v>
      </c>
      <c r="E7" s="9">
        <f t="shared" si="3"/>
        <v>46247</v>
      </c>
      <c r="F7" s="9">
        <f t="shared" si="3"/>
        <v>46248</v>
      </c>
      <c r="G7" s="9">
        <f t="shared" si="3"/>
        <v>46249</v>
      </c>
    </row>
    <row r="8" spans="1:7" x14ac:dyDescent="0.25">
      <c r="A8" s="9">
        <f t="shared" si="2"/>
        <v>46250</v>
      </c>
      <c r="B8" s="9">
        <f t="shared" ref="B8:G8" si="4">A8+1</f>
        <v>46251</v>
      </c>
      <c r="C8" s="9">
        <f t="shared" si="4"/>
        <v>46252</v>
      </c>
      <c r="D8" s="9">
        <f t="shared" si="4"/>
        <v>46253</v>
      </c>
      <c r="E8" s="9">
        <f t="shared" si="4"/>
        <v>46254</v>
      </c>
      <c r="F8" s="9">
        <f t="shared" si="4"/>
        <v>46255</v>
      </c>
      <c r="G8" s="9">
        <f t="shared" si="4"/>
        <v>46256</v>
      </c>
    </row>
    <row r="9" spans="1:7" x14ac:dyDescent="0.25">
      <c r="A9" s="9">
        <f t="shared" si="2"/>
        <v>46257</v>
      </c>
      <c r="B9" s="9">
        <f t="shared" ref="B9:G9" si="5">A9+1</f>
        <v>46258</v>
      </c>
      <c r="C9" s="9">
        <f t="shared" si="5"/>
        <v>46259</v>
      </c>
      <c r="D9" s="9">
        <f t="shared" si="5"/>
        <v>46260</v>
      </c>
      <c r="E9" s="9">
        <f t="shared" si="5"/>
        <v>46261</v>
      </c>
      <c r="F9" s="9">
        <f t="shared" si="5"/>
        <v>46262</v>
      </c>
      <c r="G9" s="9">
        <f t="shared" si="5"/>
        <v>46263</v>
      </c>
    </row>
    <row r="10" spans="1:7" x14ac:dyDescent="0.25">
      <c r="A10" s="9">
        <f t="shared" si="2"/>
        <v>46264</v>
      </c>
      <c r="B10" s="9">
        <f t="shared" ref="B10:G10" si="6">A10+1</f>
        <v>46265</v>
      </c>
      <c r="C10" s="9">
        <f t="shared" si="6"/>
        <v>46266</v>
      </c>
      <c r="D10" s="9">
        <f t="shared" si="6"/>
        <v>46267</v>
      </c>
      <c r="E10" s="9">
        <f t="shared" si="6"/>
        <v>46268</v>
      </c>
      <c r="F10" s="9">
        <f t="shared" si="6"/>
        <v>46269</v>
      </c>
      <c r="G10" s="9">
        <f t="shared" si="6"/>
        <v>46270</v>
      </c>
    </row>
  </sheetData>
  <conditionalFormatting sqref="A5:G10">
    <cfRule type="timePeriod" dxfId="0" priority="1" timePeriod="thisMonth">
      <formula>AND(MONTH(A5)=MONTH(TODAY()),YEAR(A5)=YEAR(TODAY()))</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Pivot,slicer,chart</vt:lpstr>
      <vt:lpstr>Pivot,slicer,chart2</vt:lpstr>
      <vt:lpstr>Pivot,slicer,chart3</vt:lpstr>
      <vt:lpstr>XLOOKUP,INDEX,MATCH</vt:lpstr>
      <vt:lpstr>Attendence System</vt:lpstr>
      <vt:lpstr>Cascade Drop-Down</vt:lpstr>
      <vt:lpstr>Calender</vt:lpstr>
      <vt:lpstr>CA</vt:lpstr>
      <vt:lpstr>CB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dcterms:created xsi:type="dcterms:W3CDTF">2026-08-17T06:43:12Z</dcterms:created>
  <dcterms:modified xsi:type="dcterms:W3CDTF">2026-08-24T07:51:27Z</dcterms:modified>
</cp:coreProperties>
</file>